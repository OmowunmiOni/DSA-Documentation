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User\Downloads\"/>
    </mc:Choice>
  </mc:AlternateContent>
  <xr:revisionPtr revIDLastSave="0" documentId="13_ncr:1_{A1E2F675-2F14-47B1-BB93-7E4A39DA0AD6}" xr6:coauthVersionLast="47" xr6:coauthVersionMax="47" xr10:uidLastSave="{00000000-0000-0000-0000-000000000000}"/>
  <bookViews>
    <workbookView xWindow="-108" yWindow="-108" windowWidth="23256" windowHeight="14016" xr2:uid="{31E80E03-C75D-43B1-BE4C-85E44B323D23}"/>
  </bookViews>
  <sheets>
    <sheet name="Exercis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8" i="1"/>
  <c r="H4" i="1"/>
  <c r="H3" i="1"/>
  <c r="B2" i="1"/>
</calcChain>
</file>

<file path=xl/sharedStrings.xml><?xml version="1.0" encoding="utf-8"?>
<sst xmlns="http://schemas.openxmlformats.org/spreadsheetml/2006/main" count="121" uniqueCount="93">
  <si>
    <t>Schedule of Pioneer Staff</t>
  </si>
  <si>
    <t>Names</t>
  </si>
  <si>
    <t>Salary</t>
  </si>
  <si>
    <t>Goodluck Jonathan</t>
  </si>
  <si>
    <t>Bayelsa</t>
  </si>
  <si>
    <t>Bukar Ibrahim</t>
  </si>
  <si>
    <t>Yobe</t>
  </si>
  <si>
    <t>Jolly Nyame</t>
  </si>
  <si>
    <t>Taraba</t>
  </si>
  <si>
    <t>Adamu Mu'azu</t>
  </si>
  <si>
    <t>Bauchi</t>
  </si>
  <si>
    <t>Lucky Igbinedion</t>
  </si>
  <si>
    <t>Edo</t>
  </si>
  <si>
    <t>Peter Obi</t>
  </si>
  <si>
    <t>Anambra</t>
  </si>
  <si>
    <t>Gbenga Daniel</t>
  </si>
  <si>
    <t>Ogun</t>
  </si>
  <si>
    <t>Ahmed Makarfi</t>
  </si>
  <si>
    <t>Kaduna</t>
  </si>
  <si>
    <t>Christopher Alao-Akala</t>
  </si>
  <si>
    <t>Oyo</t>
  </si>
  <si>
    <t>Achike Udenwa</t>
  </si>
  <si>
    <t>Imo</t>
  </si>
  <si>
    <t>Bukola Saraki</t>
  </si>
  <si>
    <t>Kwara</t>
  </si>
  <si>
    <t>Ali Modu Sheriff</t>
  </si>
  <si>
    <t>Borno</t>
  </si>
  <si>
    <t>Sam Egwu</t>
  </si>
  <si>
    <t>Ebonyi</t>
  </si>
  <si>
    <t>Olusegun Agagu</t>
  </si>
  <si>
    <t>Ondo</t>
  </si>
  <si>
    <t>George Akume</t>
  </si>
  <si>
    <t>Benue</t>
  </si>
  <si>
    <t>Chimaroke Nnamani</t>
  </si>
  <si>
    <t>Enugu</t>
  </si>
  <si>
    <t>Abdullahi Adamu</t>
  </si>
  <si>
    <t>Nassarawa</t>
  </si>
  <si>
    <t>Attahiru Bafarawa</t>
  </si>
  <si>
    <t>Sokoto</t>
  </si>
  <si>
    <t>Bola Tinubu</t>
  </si>
  <si>
    <t>Lagos</t>
  </si>
  <si>
    <t>Donald Duke</t>
  </si>
  <si>
    <t>Cross River</t>
  </si>
  <si>
    <t>End</t>
  </si>
  <si>
    <t>ID and Co. Limited</t>
  </si>
  <si>
    <t>Emp ID</t>
  </si>
  <si>
    <t>ID001</t>
  </si>
  <si>
    <t>ID002</t>
  </si>
  <si>
    <t>ID003</t>
  </si>
  <si>
    <t>ID004</t>
  </si>
  <si>
    <t>ID005</t>
  </si>
  <si>
    <t>ID006</t>
  </si>
  <si>
    <t>ID007</t>
  </si>
  <si>
    <t>ID008</t>
  </si>
  <si>
    <t>ID009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</si>
  <si>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</si>
  <si>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</si>
  <si>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</si>
  <si>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</si>
  <si>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</si>
  <si>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</si>
  <si>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</si>
  <si>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</si>
  <si>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</si>
  <si>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</si>
  <si>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</si>
  <si>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Department</t>
  </si>
  <si>
    <t>Marketing</t>
  </si>
  <si>
    <t>ICT</t>
  </si>
  <si>
    <t>Finance</t>
  </si>
  <si>
    <t>Procurement</t>
  </si>
  <si>
    <t>Supply Chain</t>
  </si>
  <si>
    <t>Medicals</t>
  </si>
  <si>
    <t>Resumption Date</t>
  </si>
  <si>
    <t>Exit Date</t>
  </si>
  <si>
    <t>Location</t>
  </si>
  <si>
    <t>Employment Type</t>
  </si>
  <si>
    <t>Contract</t>
  </si>
  <si>
    <t>Full-time</t>
  </si>
  <si>
    <t>Part-time</t>
  </si>
  <si>
    <t>Freelance</t>
  </si>
  <si>
    <t>Consultant</t>
  </si>
  <si>
    <t>Intern</t>
  </si>
  <si>
    <t>Resumption Year</t>
  </si>
  <si>
    <t>Resumption Month</t>
  </si>
  <si>
    <t>Resumption Day</t>
  </si>
  <si>
    <t>Days in Employment</t>
  </si>
  <si>
    <t>Months in Employment</t>
  </si>
  <si>
    <t>Next Work Anniversary</t>
  </si>
  <si>
    <t xml:space="preserve"> </t>
  </si>
  <si>
    <t>ctrl+shift+colon</t>
  </si>
  <si>
    <t>ctrl+colon</t>
  </si>
  <si>
    <t>ctrl+colon space Ctrl+shift+colon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</si>
</sst>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_);[Red]\(#,##0.0\);\ \ \-\ \ "/>
  </numFmts>
  <fonts count="14" x14ac:knownFonts="1">
    <font>
      <sz val="10"/>
      <name val="Arial Nova"/>
      <family val="2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5"/>
      <color theme="3"/>
      <name val="Arial Nova"/>
      <family val="2"/>
    </font>
    <font>
      <sz val="10"/>
      <name val="Arial Nova"/>
      <family val="2"/>
    </font>
    <font>
      <b/>
      <sz val="16"/>
      <name val="Arial Nova"/>
      <family val="2"/>
    </font>
    <font>
      <b/>
      <sz val="13"/>
      <color rgb="FFC00000"/>
      <name val="Arial Nova"/>
      <family val="2"/>
    </font>
    <font>
      <b/>
      <sz val="12"/>
      <color theme="1" tint="0.34998626667073579"/>
      <name val="Arial Nova"/>
      <family val="2"/>
    </font>
    <font>
      <sz val="11"/>
      <color theme="0"/>
      <name val="Arial"/>
      <family val="2"/>
    </font>
    <font>
      <sz val="12"/>
      <color theme="0"/>
      <name val="Arial Nova"/>
      <family val="2"/>
    </font>
    <font>
      <sz val="12"/>
      <name val="Arial Nova"/>
      <family val="2"/>
    </font>
    <font>
      <sz val="10"/>
      <name val="Bookman Old Style"/>
      <family val="1"/>
    </font>
    <font>
      <b/>
      <sz val="12"/>
      <name val="Arial Nova"/>
      <family val="2"/>
    </font>
    <font>
      <sz val="11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40" fontId="8" fillId="4" borderId="3" applyNumberFormat="0" applyProtection="0">
      <alignment horizontal="center" vertical="center" wrapText="1"/>
    </xf>
    <xf numFmtId="0" fontId="11" fillId="0" borderId="0"/>
  </cellStyleXfs>
  <cellXfs count="20">
    <xf numFmtId="0" fontId="0" fillId="0" borderId="0" xfId="0"/>
    <xf numFmtId="0" fontId="3" fillId="0" borderId="0" xfId="1" applyFont="1" applyBorder="1"/>
    <xf numFmtId="0" fontId="4" fillId="0" borderId="0" xfId="0" applyFont="1"/>
    <xf numFmtId="0" fontId="5" fillId="2" borderId="0" xfId="0" applyFont="1" applyFill="1"/>
    <xf numFmtId="164" fontId="6" fillId="3" borderId="0" xfId="2" applyNumberFormat="1" applyFont="1" applyFill="1" applyBorder="1"/>
    <xf numFmtId="164" fontId="7" fillId="3" borderId="0" xfId="2" applyNumberFormat="1" applyFont="1" applyFill="1" applyBorder="1"/>
    <xf numFmtId="37" fontId="9" fillId="4" borderId="3" xfId="3" applyNumberFormat="1" applyFont="1" applyAlignment="1">
      <alignment horizontal="left" vertical="center" wrapText="1"/>
    </xf>
    <xf numFmtId="37" fontId="9" fillId="4" borderId="3" xfId="3" applyNumberFormat="1" applyFont="1" applyAlignment="1">
      <alignment horizontal="right" vertical="center" wrapText="1"/>
    </xf>
    <xf numFmtId="0" fontId="10" fillId="0" borderId="4" xfId="0" applyFont="1" applyBorder="1"/>
    <xf numFmtId="3" fontId="10" fillId="0" borderId="4" xfId="0" applyNumberFormat="1" applyFont="1" applyBorder="1"/>
    <xf numFmtId="0" fontId="10" fillId="0" borderId="4" xfId="0" applyFont="1" applyBorder="1" applyAlignment="1">
      <alignment horizontal="left"/>
    </xf>
    <xf numFmtId="0" fontId="10" fillId="0" borderId="4" xfId="0" applyFont="1" applyBorder="1" applyAlignment="1">
      <alignment wrapText="1"/>
    </xf>
    <xf numFmtId="0" fontId="12" fillId="0" borderId="0" xfId="0" applyFont="1"/>
    <xf numFmtId="0" fontId="10" fillId="0" borderId="0" xfId="0" applyFont="1"/>
    <xf numFmtId="0" fontId="13" fillId="0" borderId="0" xfId="4" applyFont="1"/>
    <xf numFmtId="14" fontId="10" fillId="0" borderId="4" xfId="0" applyNumberFormat="1" applyFont="1" applyBorder="1"/>
    <xf numFmtId="14" fontId="4" fillId="0" borderId="0" xfId="0" applyNumberFormat="1" applyFont="1"/>
    <xf numFmtId="22" fontId="4" fillId="0" borderId="0" xfId="0" applyNumberFormat="1" applyFont="1"/>
    <xf numFmtId="20" fontId="4" fillId="0" borderId="0" xfId="0" applyNumberFormat="1" applyFont="1"/>
    <xf numFmtId="1" fontId="10" fillId="0" borderId="4" xfId="0" applyNumberFormat="1" applyFont="1" applyBorder="1"/>
  </cellXfs>
  <cellStyles count="5">
    <cellStyle name="Heading 1" xfId="1" builtinId="16"/>
    <cellStyle name="Heading 2" xfId="2" builtinId="17"/>
    <cellStyle name="Normal" xfId="0" builtinId="0"/>
    <cellStyle name="Normal 4" xfId="4" xr:uid="{01A2AB93-76A4-4CEB-B41D-555181747B88}"/>
    <cellStyle name="TableHeader" xfId="3" xr:uid="{87619AC5-F120-4746-A64C-710697887A87}"/>
  </cellStyles>
  <dxfs count="0"/>
  <tableStyles count="1" defaultTableStyle="TableStyleMedium2" defaultPivotStyle="PivotStyleLight16">
    <tableStyle name="Invisible" pivot="0" table="0" count="0" xr9:uid="{D9440F75-05E2-4C16-8867-720820C0BC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Personal\Resources\Training\Power%20Excel%201\PE1%20Materials\Participants'%20Session%20Files\Session_01\01.%20PE1_VT_Basic_Excel_Functions_Start.xlsx" TargetMode="External"/><Relationship Id="rId1" Type="http://schemas.openxmlformats.org/officeDocument/2006/relationships/externalLinkPath" Target="/Users/user/Desktop/Personal/Resources/Training/Power%20Excel%201/PE1%20Materials/Participants'%20Session%20Files/Session_01/01.%20PE1_VT_Basic_Excel_Functions_St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Exercise"/>
      <sheetName val="Contact us"/>
      <sheetName val="Blank"/>
    </sheetNames>
    <sheetDataSet>
      <sheetData sheetId="0">
        <row r="4">
          <cell r="G4" t="str">
            <v>Basic Excel Functions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4FE1C-55E5-4562-8B50-AB0F7A4100C4}">
  <dimension ref="A1:T40"/>
  <sheetViews>
    <sheetView showGridLines="0" tabSelected="1" zoomScale="72" zoomScaleNormal="166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J8" sqref="J8"/>
    </sheetView>
  </sheetViews>
  <sheetFormatPr defaultColWidth="9.109375" defaultRowHeight="13.2" x14ac:dyDescent="0.25"/>
  <cols>
    <col min="1" max="1" width="5" style="2" customWidth="1"/>
    <col min="2" max="2" width="12.77734375" style="2" customWidth="1"/>
    <col min="3" max="3" width="23.33203125" style="2" bestFit="1" customWidth="1"/>
    <col min="4" max="4" width="13.77734375" style="2" bestFit="1" customWidth="1"/>
    <col min="5" max="12" width="18.6640625" style="2" customWidth="1"/>
    <col min="13" max="14" width="22.33203125" style="2" customWidth="1"/>
    <col min="15" max="15" width="17.44140625" style="2" customWidth="1"/>
    <col min="16" max="16" width="11.44140625" style="2" customWidth="1"/>
    <col min="17" max="16384" width="9.109375" style="2"/>
  </cols>
  <sheetData>
    <row r="1" spans="1:20" ht="19.2" x14ac:dyDescent="0.35">
      <c r="A1" s="1"/>
    </row>
    <row r="2" spans="1:20" ht="20.399999999999999" x14ac:dyDescent="0.35">
      <c r="A2" s="3"/>
      <c r="B2" s="3" t="str">
        <f>[1]Menu!G4</f>
        <v>Basic Excel Functions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H3" s="16">
        <f ca="1">TODAY()</f>
        <v>45852</v>
      </c>
      <c r="K3" s="17">
        <v>45785.593055555553</v>
      </c>
      <c r="L3" s="2" t="s">
        <v>92</v>
      </c>
    </row>
    <row r="4" spans="1:20" ht="16.8" x14ac:dyDescent="0.3">
      <c r="A4" s="4" t="s">
        <v>44</v>
      </c>
      <c r="H4" s="17">
        <f ca="1">NOW()</f>
        <v>45852.549601041668</v>
      </c>
      <c r="K4" s="18">
        <v>0.59305555555555556</v>
      </c>
      <c r="L4" s="2" t="s">
        <v>90</v>
      </c>
    </row>
    <row r="5" spans="1:20" ht="15.6" x14ac:dyDescent="0.3">
      <c r="A5" s="5" t="s">
        <v>0</v>
      </c>
      <c r="H5" s="2" t="s">
        <v>89</v>
      </c>
      <c r="K5" s="16">
        <v>45785</v>
      </c>
      <c r="L5" s="2" t="s">
        <v>91</v>
      </c>
    </row>
    <row r="7" spans="1:20" ht="31.2" x14ac:dyDescent="0.25">
      <c r="A7"/>
      <c r="B7" s="6" t="s">
        <v>45</v>
      </c>
      <c r="C7" s="6" t="s">
        <v>1</v>
      </c>
      <c r="D7" s="6" t="s">
        <v>66</v>
      </c>
      <c r="E7" s="6" t="s">
        <v>73</v>
      </c>
      <c r="F7" s="6" t="s">
        <v>74</v>
      </c>
      <c r="G7" s="6" t="s">
        <v>83</v>
      </c>
      <c r="H7" s="6" t="s">
        <v>84</v>
      </c>
      <c r="I7" s="6" t="s">
        <v>85</v>
      </c>
      <c r="J7" s="6" t="s">
        <v>86</v>
      </c>
      <c r="K7" s="6" t="s">
        <v>87</v>
      </c>
      <c r="L7" s="6" t="s">
        <v>88</v>
      </c>
      <c r="M7" s="6" t="s">
        <v>75</v>
      </c>
      <c r="N7" s="6" t="s">
        <v>76</v>
      </c>
      <c r="O7" s="7" t="s">
        <v>2</v>
      </c>
    </row>
    <row r="8" spans="1:20" ht="15.6" x14ac:dyDescent="0.3">
      <c r="A8"/>
      <c r="B8" s="8" t="s">
        <v>46</v>
      </c>
      <c r="C8" s="8" t="s">
        <v>3</v>
      </c>
      <c r="D8" s="8" t="s">
        <v>68</v>
      </c>
      <c r="E8" s="15">
        <v>43690</v>
      </c>
      <c r="F8" s="15"/>
      <c r="G8" s="19">
        <f>YEAR(E8)</f>
        <v>2019</v>
      </c>
      <c r="H8" s="8" t="str">
        <f>TEXT(E8,"mmmm")</f>
        <v>August</v>
      </c>
      <c r="I8" s="8" t="str">
        <f>TEXT(E8,"DDDD")</f>
        <v>Tuesday</v>
      </c>
      <c r="J8" s="15"/>
      <c r="K8" s="15"/>
      <c r="L8" s="15"/>
      <c r="M8" s="8" t="s">
        <v>4</v>
      </c>
      <c r="N8" s="8" t="s">
        <v>82</v>
      </c>
      <c r="O8" s="9">
        <v>4974390</v>
      </c>
    </row>
    <row r="9" spans="1:20" ht="15.6" x14ac:dyDescent="0.3">
      <c r="A9"/>
      <c r="B9" s="8" t="s">
        <v>47</v>
      </c>
      <c r="C9" s="8" t="s">
        <v>5</v>
      </c>
      <c r="D9" s="8" t="s">
        <v>72</v>
      </c>
      <c r="E9" s="15">
        <v>44318</v>
      </c>
      <c r="F9" s="15"/>
      <c r="G9" s="19">
        <f t="shared" ref="G9:G27" si="0">YEAR(E9)</f>
        <v>2021</v>
      </c>
      <c r="H9" s="8" t="str">
        <f t="shared" ref="H9:H27" si="1">TEXT(E9,"mmmm")</f>
        <v>May</v>
      </c>
      <c r="I9" s="8" t="str">
        <f t="shared" ref="I9:I27" si="2">TEXT(E9,"DDDD")</f>
        <v>Sunday</v>
      </c>
      <c r="J9" s="15"/>
      <c r="K9" s="15"/>
      <c r="L9" s="15"/>
      <c r="M9" s="8" t="s">
        <v>6</v>
      </c>
      <c r="N9" s="8" t="s">
        <v>80</v>
      </c>
      <c r="O9" s="9">
        <v>4972165</v>
      </c>
    </row>
    <row r="10" spans="1:20" ht="15.6" x14ac:dyDescent="0.3">
      <c r="A10"/>
      <c r="B10" s="8" t="s">
        <v>48</v>
      </c>
      <c r="C10" s="8" t="s">
        <v>7</v>
      </c>
      <c r="D10" s="8" t="s">
        <v>71</v>
      </c>
      <c r="E10" s="15">
        <v>43795</v>
      </c>
      <c r="F10" s="15"/>
      <c r="G10" s="19">
        <f t="shared" si="0"/>
        <v>2019</v>
      </c>
      <c r="H10" s="8" t="str">
        <f t="shared" si="1"/>
        <v>November</v>
      </c>
      <c r="I10" s="8" t="str">
        <f t="shared" si="2"/>
        <v>Tuesday</v>
      </c>
      <c r="J10" s="15"/>
      <c r="K10" s="15"/>
      <c r="L10" s="15"/>
      <c r="M10" s="8" t="s">
        <v>8</v>
      </c>
      <c r="N10" s="8" t="s">
        <v>77</v>
      </c>
      <c r="O10" s="9">
        <v>4948277</v>
      </c>
      <c r="S10"/>
      <c r="T10"/>
    </row>
    <row r="11" spans="1:20" ht="15.6" x14ac:dyDescent="0.3">
      <c r="A11"/>
      <c r="B11" s="8" t="s">
        <v>49</v>
      </c>
      <c r="C11" s="8" t="s">
        <v>9</v>
      </c>
      <c r="D11" s="8" t="s">
        <v>68</v>
      </c>
      <c r="E11" s="15">
        <v>45161</v>
      </c>
      <c r="F11" s="15">
        <v>45722</v>
      </c>
      <c r="G11" s="19">
        <f t="shared" si="0"/>
        <v>2023</v>
      </c>
      <c r="H11" s="8" t="str">
        <f t="shared" si="1"/>
        <v>August</v>
      </c>
      <c r="I11" s="8" t="str">
        <f t="shared" si="2"/>
        <v>Wednesday</v>
      </c>
      <c r="J11" s="15"/>
      <c r="K11" s="15"/>
      <c r="L11" s="15"/>
      <c r="M11" s="8" t="s">
        <v>10</v>
      </c>
      <c r="N11" s="8" t="s">
        <v>81</v>
      </c>
      <c r="O11" s="9">
        <v>4740966</v>
      </c>
      <c r="S11"/>
      <c r="T11"/>
    </row>
    <row r="12" spans="1:20" ht="15.6" x14ac:dyDescent="0.3">
      <c r="A12"/>
      <c r="B12" s="8" t="s">
        <v>50</v>
      </c>
      <c r="C12" s="8" t="s">
        <v>11</v>
      </c>
      <c r="D12" s="8" t="s">
        <v>70</v>
      </c>
      <c r="E12" s="15">
        <v>41695</v>
      </c>
      <c r="F12" s="15"/>
      <c r="G12" s="19">
        <f t="shared" si="0"/>
        <v>2014</v>
      </c>
      <c r="H12" s="8" t="str">
        <f t="shared" si="1"/>
        <v>February</v>
      </c>
      <c r="I12" s="8" t="str">
        <f t="shared" si="2"/>
        <v>Tuesday</v>
      </c>
      <c r="J12" s="15"/>
      <c r="K12" s="15"/>
      <c r="L12" s="15"/>
      <c r="M12" s="8" t="s">
        <v>12</v>
      </c>
      <c r="N12" s="8" t="s">
        <v>80</v>
      </c>
      <c r="O12" s="9">
        <v>4286346</v>
      </c>
      <c r="S12"/>
      <c r="T12"/>
    </row>
    <row r="13" spans="1:20" ht="15.6" x14ac:dyDescent="0.3">
      <c r="A13"/>
      <c r="B13" s="8" t="s">
        <v>51</v>
      </c>
      <c r="C13" s="8" t="s">
        <v>13</v>
      </c>
      <c r="D13" s="8" t="s">
        <v>72</v>
      </c>
      <c r="E13" s="15">
        <v>45618</v>
      </c>
      <c r="F13" s="15"/>
      <c r="G13" s="19">
        <f t="shared" si="0"/>
        <v>2024</v>
      </c>
      <c r="H13" s="8" t="str">
        <f t="shared" si="1"/>
        <v>November</v>
      </c>
      <c r="I13" s="8" t="str">
        <f t="shared" si="2"/>
        <v>Friday</v>
      </c>
      <c r="J13" s="15"/>
      <c r="K13" s="15"/>
      <c r="L13" s="15"/>
      <c r="M13" s="8" t="s">
        <v>14</v>
      </c>
      <c r="N13" s="8" t="s">
        <v>81</v>
      </c>
      <c r="O13" s="9">
        <v>4068987</v>
      </c>
      <c r="S13"/>
      <c r="T13"/>
    </row>
    <row r="14" spans="1:20" ht="15.6" x14ac:dyDescent="0.3">
      <c r="A14"/>
      <c r="B14" s="8" t="s">
        <v>52</v>
      </c>
      <c r="C14" s="8" t="s">
        <v>15</v>
      </c>
      <c r="D14" s="8" t="s">
        <v>68</v>
      </c>
      <c r="E14" s="15">
        <v>44151</v>
      </c>
      <c r="F14" s="15"/>
      <c r="G14" s="19">
        <f t="shared" si="0"/>
        <v>2020</v>
      </c>
      <c r="H14" s="8" t="str">
        <f t="shared" si="1"/>
        <v>November</v>
      </c>
      <c r="I14" s="8" t="str">
        <f t="shared" si="2"/>
        <v>Monday</v>
      </c>
      <c r="J14" s="15"/>
      <c r="K14" s="15"/>
      <c r="L14" s="15"/>
      <c r="M14" s="8" t="s">
        <v>16</v>
      </c>
      <c r="N14" s="8" t="s">
        <v>81</v>
      </c>
      <c r="O14" s="9">
        <v>3896653</v>
      </c>
      <c r="S14"/>
      <c r="T14"/>
    </row>
    <row r="15" spans="1:20" ht="15.6" x14ac:dyDescent="0.3">
      <c r="A15"/>
      <c r="B15" s="8" t="s">
        <v>53</v>
      </c>
      <c r="C15" s="8" t="s">
        <v>17</v>
      </c>
      <c r="D15" s="8" t="s">
        <v>69</v>
      </c>
      <c r="E15" s="15">
        <v>41227</v>
      </c>
      <c r="F15" s="15"/>
      <c r="G15" s="19">
        <f t="shared" si="0"/>
        <v>2012</v>
      </c>
      <c r="H15" s="8" t="str">
        <f t="shared" si="1"/>
        <v>November</v>
      </c>
      <c r="I15" s="8" t="str">
        <f t="shared" si="2"/>
        <v>Wednesday</v>
      </c>
      <c r="J15" s="15"/>
      <c r="K15" s="15"/>
      <c r="L15" s="15"/>
      <c r="M15" s="8" t="s">
        <v>18</v>
      </c>
      <c r="N15" s="8" t="s">
        <v>79</v>
      </c>
      <c r="O15" s="9">
        <v>3426608</v>
      </c>
      <c r="T15"/>
    </row>
    <row r="16" spans="1:20" ht="15.6" x14ac:dyDescent="0.3">
      <c r="A16"/>
      <c r="B16" s="8" t="s">
        <v>54</v>
      </c>
      <c r="C16" s="8" t="s">
        <v>19</v>
      </c>
      <c r="D16" s="8" t="s">
        <v>67</v>
      </c>
      <c r="E16" s="15">
        <v>42401</v>
      </c>
      <c r="F16" s="15">
        <v>45630</v>
      </c>
      <c r="G16" s="19">
        <f t="shared" si="0"/>
        <v>2016</v>
      </c>
      <c r="H16" s="8" t="str">
        <f t="shared" si="1"/>
        <v>February</v>
      </c>
      <c r="I16" s="8" t="str">
        <f t="shared" si="2"/>
        <v>Monday</v>
      </c>
      <c r="J16" s="15"/>
      <c r="K16" s="15"/>
      <c r="L16" s="15"/>
      <c r="M16" s="8" t="s">
        <v>20</v>
      </c>
      <c r="N16" s="8" t="s">
        <v>79</v>
      </c>
      <c r="O16" s="9">
        <v>3028264</v>
      </c>
      <c r="T16"/>
    </row>
    <row r="17" spans="1:20" ht="15.6" x14ac:dyDescent="0.3">
      <c r="A17"/>
      <c r="B17" s="8" t="s">
        <v>55</v>
      </c>
      <c r="C17" s="8" t="s">
        <v>21</v>
      </c>
      <c r="D17" s="8" t="s">
        <v>69</v>
      </c>
      <c r="E17" s="15">
        <v>42925</v>
      </c>
      <c r="F17" s="15"/>
      <c r="G17" s="19">
        <f t="shared" si="0"/>
        <v>2017</v>
      </c>
      <c r="H17" s="8" t="str">
        <f t="shared" si="1"/>
        <v>July</v>
      </c>
      <c r="I17" s="8" t="str">
        <f t="shared" si="2"/>
        <v>Sunday</v>
      </c>
      <c r="J17" s="15"/>
      <c r="K17" s="15"/>
      <c r="L17" s="15"/>
      <c r="M17" s="8" t="s">
        <v>22</v>
      </c>
      <c r="N17" s="8" t="s">
        <v>78</v>
      </c>
      <c r="O17" s="9">
        <v>2318996</v>
      </c>
    </row>
    <row r="18" spans="1:20" ht="15.6" x14ac:dyDescent="0.3">
      <c r="A18"/>
      <c r="B18" s="8" t="s">
        <v>56</v>
      </c>
      <c r="C18" s="8" t="s">
        <v>23</v>
      </c>
      <c r="D18" s="8" t="s">
        <v>69</v>
      </c>
      <c r="E18" s="15">
        <v>43184</v>
      </c>
      <c r="F18" s="15"/>
      <c r="G18" s="19">
        <f t="shared" si="0"/>
        <v>2018</v>
      </c>
      <c r="H18" s="8" t="str">
        <f t="shared" si="1"/>
        <v>March</v>
      </c>
      <c r="I18" s="8" t="str">
        <f t="shared" si="2"/>
        <v>Sunday</v>
      </c>
      <c r="J18" s="15"/>
      <c r="K18" s="15"/>
      <c r="L18" s="15"/>
      <c r="M18" s="8" t="s">
        <v>24</v>
      </c>
      <c r="N18" s="8" t="s">
        <v>81</v>
      </c>
      <c r="O18" s="9">
        <v>2312631</v>
      </c>
    </row>
    <row r="19" spans="1:20" ht="15.6" x14ac:dyDescent="0.3">
      <c r="A19"/>
      <c r="B19" s="8" t="s">
        <v>57</v>
      </c>
      <c r="C19" s="8" t="s">
        <v>25</v>
      </c>
      <c r="D19" s="8" t="s">
        <v>72</v>
      </c>
      <c r="E19" s="15">
        <v>42883</v>
      </c>
      <c r="F19" s="15"/>
      <c r="G19" s="19">
        <f t="shared" si="0"/>
        <v>2017</v>
      </c>
      <c r="H19" s="8" t="str">
        <f t="shared" si="1"/>
        <v>May</v>
      </c>
      <c r="I19" s="8" t="str">
        <f t="shared" si="2"/>
        <v>Sunday</v>
      </c>
      <c r="J19" s="15"/>
      <c r="K19" s="15"/>
      <c r="L19" s="15"/>
      <c r="M19" s="8" t="s">
        <v>26</v>
      </c>
      <c r="N19" s="8" t="s">
        <v>79</v>
      </c>
      <c r="O19" s="9">
        <v>2121528</v>
      </c>
    </row>
    <row r="20" spans="1:20" ht="20.399999999999999" x14ac:dyDescent="0.35">
      <c r="A20"/>
      <c r="B20" s="8" t="s">
        <v>58</v>
      </c>
      <c r="C20" s="10" t="s">
        <v>27</v>
      </c>
      <c r="D20" s="8" t="s">
        <v>72</v>
      </c>
      <c r="E20" s="15">
        <v>42754</v>
      </c>
      <c r="F20" s="15"/>
      <c r="G20" s="19">
        <f t="shared" si="0"/>
        <v>2017</v>
      </c>
      <c r="H20" s="8" t="str">
        <f t="shared" si="1"/>
        <v>January</v>
      </c>
      <c r="I20" s="8" t="str">
        <f t="shared" si="2"/>
        <v>Thursday</v>
      </c>
      <c r="J20" s="15"/>
      <c r="K20" s="15"/>
      <c r="L20" s="15"/>
      <c r="M20" s="8" t="s">
        <v>28</v>
      </c>
      <c r="N20" s="8" t="s">
        <v>82</v>
      </c>
      <c r="O20" s="9">
        <v>1643270</v>
      </c>
      <c r="Q20" s="3"/>
      <c r="R20" s="3"/>
      <c r="S20" s="3"/>
      <c r="T20" s="3"/>
    </row>
    <row r="21" spans="1:20" ht="15.6" x14ac:dyDescent="0.3">
      <c r="A21"/>
      <c r="B21" s="8" t="s">
        <v>59</v>
      </c>
      <c r="C21" s="8" t="s">
        <v>29</v>
      </c>
      <c r="D21" s="8" t="s">
        <v>71</v>
      </c>
      <c r="E21" s="15">
        <v>42543</v>
      </c>
      <c r="F21" s="15"/>
      <c r="G21" s="19">
        <f t="shared" si="0"/>
        <v>2016</v>
      </c>
      <c r="H21" s="8" t="str">
        <f t="shared" si="1"/>
        <v>June</v>
      </c>
      <c r="I21" s="8" t="str">
        <f t="shared" si="2"/>
        <v>Wednesday</v>
      </c>
      <c r="J21" s="15"/>
      <c r="K21" s="15"/>
      <c r="L21" s="15"/>
      <c r="M21" s="8" t="s">
        <v>30</v>
      </c>
      <c r="N21" s="8" t="s">
        <v>82</v>
      </c>
      <c r="O21" s="9">
        <v>1562243</v>
      </c>
    </row>
    <row r="22" spans="1:20" ht="15.6" x14ac:dyDescent="0.3">
      <c r="A22"/>
      <c r="B22" s="8" t="s">
        <v>60</v>
      </c>
      <c r="C22" s="8" t="s">
        <v>31</v>
      </c>
      <c r="D22" s="8" t="s">
        <v>72</v>
      </c>
      <c r="E22" s="15">
        <v>40561</v>
      </c>
      <c r="F22" s="15">
        <v>45234</v>
      </c>
      <c r="G22" s="19">
        <f t="shared" si="0"/>
        <v>2011</v>
      </c>
      <c r="H22" s="8" t="str">
        <f t="shared" si="1"/>
        <v>January</v>
      </c>
      <c r="I22" s="8" t="str">
        <f t="shared" si="2"/>
        <v>Tuesday</v>
      </c>
      <c r="J22" s="15"/>
      <c r="K22" s="15"/>
      <c r="L22" s="15"/>
      <c r="M22" s="8" t="s">
        <v>32</v>
      </c>
      <c r="N22" s="8" t="s">
        <v>81</v>
      </c>
      <c r="O22" s="9">
        <v>1407751</v>
      </c>
    </row>
    <row r="23" spans="1:20" ht="15.6" x14ac:dyDescent="0.3">
      <c r="A23"/>
      <c r="B23" s="8" t="s">
        <v>61</v>
      </c>
      <c r="C23" s="8" t="s">
        <v>33</v>
      </c>
      <c r="D23" s="8" t="s">
        <v>67</v>
      </c>
      <c r="E23" s="15">
        <v>41035</v>
      </c>
      <c r="F23" s="15"/>
      <c r="G23" s="19">
        <f t="shared" si="0"/>
        <v>2012</v>
      </c>
      <c r="H23" s="8" t="str">
        <f t="shared" si="1"/>
        <v>May</v>
      </c>
      <c r="I23" s="8" t="str">
        <f t="shared" si="2"/>
        <v>Sunday</v>
      </c>
      <c r="J23" s="15"/>
      <c r="K23" s="15"/>
      <c r="L23" s="15"/>
      <c r="M23" s="8" t="s">
        <v>34</v>
      </c>
      <c r="N23" s="8" t="s">
        <v>81</v>
      </c>
      <c r="O23" s="9">
        <v>1375956</v>
      </c>
    </row>
    <row r="24" spans="1:20" ht="15.6" x14ac:dyDescent="0.3">
      <c r="A24"/>
      <c r="B24" s="8" t="s">
        <v>62</v>
      </c>
      <c r="C24" s="8" t="s">
        <v>35</v>
      </c>
      <c r="D24" s="8" t="s">
        <v>71</v>
      </c>
      <c r="E24" s="15">
        <v>44012</v>
      </c>
      <c r="F24" s="15"/>
      <c r="G24" s="19">
        <f t="shared" si="0"/>
        <v>2020</v>
      </c>
      <c r="H24" s="8" t="str">
        <f t="shared" si="1"/>
        <v>June</v>
      </c>
      <c r="I24" s="8" t="str">
        <f t="shared" si="2"/>
        <v>Tuesday</v>
      </c>
      <c r="J24" s="15"/>
      <c r="K24" s="15"/>
      <c r="L24" s="15"/>
      <c r="M24" s="8" t="s">
        <v>36</v>
      </c>
      <c r="N24" s="8" t="s">
        <v>79</v>
      </c>
      <c r="O24" s="9">
        <v>1364301</v>
      </c>
      <c r="Q24" s="14"/>
      <c r="R24" s="14"/>
      <c r="S24" s="14"/>
      <c r="T24" s="14"/>
    </row>
    <row r="25" spans="1:20" ht="15.6" x14ac:dyDescent="0.3">
      <c r="A25"/>
      <c r="B25" s="8" t="s">
        <v>63</v>
      </c>
      <c r="C25" s="10" t="s">
        <v>37</v>
      </c>
      <c r="D25" s="8" t="s">
        <v>67</v>
      </c>
      <c r="E25" s="15">
        <v>41169</v>
      </c>
      <c r="F25" s="15"/>
      <c r="G25" s="19">
        <f t="shared" si="0"/>
        <v>2012</v>
      </c>
      <c r="H25" s="8" t="str">
        <f t="shared" si="1"/>
        <v>September</v>
      </c>
      <c r="I25" s="8" t="str">
        <f t="shared" si="2"/>
        <v>Monday</v>
      </c>
      <c r="J25" s="15"/>
      <c r="K25" s="15"/>
      <c r="L25" s="15"/>
      <c r="M25" s="8" t="s">
        <v>38</v>
      </c>
      <c r="N25" s="8" t="s">
        <v>77</v>
      </c>
      <c r="O25" s="9">
        <v>1358916</v>
      </c>
      <c r="Q25" s="14"/>
      <c r="R25" s="14"/>
      <c r="S25" s="14"/>
      <c r="T25" s="14"/>
    </row>
    <row r="26" spans="1:20" ht="15.6" x14ac:dyDescent="0.3">
      <c r="A26"/>
      <c r="B26" s="8" t="s">
        <v>64</v>
      </c>
      <c r="C26" s="11" t="s">
        <v>39</v>
      </c>
      <c r="D26" s="8" t="s">
        <v>72</v>
      </c>
      <c r="E26" s="15">
        <v>43534</v>
      </c>
      <c r="F26" s="15">
        <v>43559</v>
      </c>
      <c r="G26" s="19">
        <f t="shared" si="0"/>
        <v>2019</v>
      </c>
      <c r="H26" s="8" t="str">
        <f t="shared" si="1"/>
        <v>March</v>
      </c>
      <c r="I26" s="8" t="str">
        <f t="shared" si="2"/>
        <v>Sunday</v>
      </c>
      <c r="J26" s="15"/>
      <c r="K26" s="15"/>
      <c r="L26" s="15"/>
      <c r="M26" s="8" t="s">
        <v>40</v>
      </c>
      <c r="N26" s="8" t="s">
        <v>80</v>
      </c>
      <c r="O26" s="9">
        <v>1226444</v>
      </c>
    </row>
    <row r="27" spans="1:20" ht="15.6" x14ac:dyDescent="0.3">
      <c r="A27"/>
      <c r="B27" s="8" t="s">
        <v>65</v>
      </c>
      <c r="C27" s="8" t="s">
        <v>41</v>
      </c>
      <c r="D27" s="8" t="s">
        <v>68</v>
      </c>
      <c r="E27" s="15">
        <v>45486</v>
      </c>
      <c r="F27" s="15"/>
      <c r="G27" s="19">
        <f t="shared" si="0"/>
        <v>2024</v>
      </c>
      <c r="H27" s="8" t="str">
        <f t="shared" si="1"/>
        <v>July</v>
      </c>
      <c r="I27" s="8" t="str">
        <f t="shared" si="2"/>
        <v>Saturday</v>
      </c>
      <c r="J27" s="15"/>
      <c r="K27" s="15"/>
      <c r="L27" s="15"/>
      <c r="M27" s="8" t="s">
        <v>42</v>
      </c>
      <c r="N27" s="8" t="s">
        <v>77</v>
      </c>
      <c r="O27" s="9">
        <v>1130642</v>
      </c>
    </row>
    <row r="28" spans="1:20" ht="15.6" x14ac:dyDescent="0.3">
      <c r="A28" s="12"/>
      <c r="B28" s="12"/>
    </row>
    <row r="29" spans="1:20" ht="15.6" x14ac:dyDescent="0.3">
      <c r="A29" s="12"/>
      <c r="B29" s="12"/>
    </row>
    <row r="30" spans="1:20" ht="15.6" x14ac:dyDescent="0.3">
      <c r="A30" s="12"/>
    </row>
    <row r="31" spans="1:20" ht="15.6" x14ac:dyDescent="0.3">
      <c r="A31" s="12"/>
      <c r="B31" s="12"/>
    </row>
    <row r="32" spans="1:20" ht="15.6" x14ac:dyDescent="0.3">
      <c r="A32" s="13"/>
      <c r="B32" s="13"/>
    </row>
    <row r="35" spans="1:20" ht="20.399999999999999" x14ac:dyDescent="0.35">
      <c r="A35" s="3" t="s">
        <v>43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Q35" s="3"/>
      <c r="R35" s="3"/>
      <c r="S35" s="3"/>
      <c r="T35" s="3"/>
    </row>
    <row r="39" spans="1:20" s="14" customFormat="1" ht="13.8" x14ac:dyDescent="0.25">
      <c r="M39" s="2"/>
      <c r="N39" s="2"/>
      <c r="O39" s="2"/>
      <c r="P39" s="2"/>
    </row>
    <row r="40" spans="1:20" s="14" customFormat="1" ht="13.8" x14ac:dyDescent="0.25">
      <c r="M40" s="2"/>
      <c r="N40" s="2"/>
      <c r="O40" s="2"/>
      <c r="P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Muhsin Hameed</dc:creator>
  <cp:lastModifiedBy>Ade Adetosoye</cp:lastModifiedBy>
  <dcterms:created xsi:type="dcterms:W3CDTF">2024-08-23T16:09:19Z</dcterms:created>
  <dcterms:modified xsi:type="dcterms:W3CDTF">2025-07-14T12:11:54Z</dcterms:modified>
</cp:coreProperties>
</file>