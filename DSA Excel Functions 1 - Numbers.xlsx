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ewUser\Downloads\"/>
    </mc:Choice>
  </mc:AlternateContent>
  <xr:revisionPtr revIDLastSave="0" documentId="13_ncr:1_{7E42AC20-1966-41DD-BAFB-322269553FC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Exercise" sheetId="2" r:id="rId1"/>
    <sheet name="Conditionals" sheetId="3" r:id="rId2"/>
  </sheets>
  <externalReferences>
    <externalReference r:id="rId3"/>
  </externalReferences>
  <definedNames>
    <definedName name="_xlnm._FilterDatabase" localSheetId="0" hidden="1">Exercise!$B$7:$D$27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zV6zVepLhu+IBvLNhhZ0TlbcYDiKXWr3aB2L6IH2Pfk="/>
    </ext>
  </extLst>
</workbook>
</file>

<file path=xl/calcChain.xml><?xml version="1.0" encoding="utf-8"?>
<calcChain xmlns="http://schemas.openxmlformats.org/spreadsheetml/2006/main">
  <c r="H16" i="2" l="1"/>
  <c r="H15" i="2"/>
  <c r="H9" i="2"/>
  <c r="H8" i="2"/>
  <c r="B2" i="2"/>
</calcChain>
</file>

<file path=xl/sharedStrings.xml><?xml version="1.0" encoding="utf-8"?>
<sst xmlns="http://schemas.openxmlformats.org/spreadsheetml/2006/main" count="131" uniqueCount="75">
  <si>
    <t>ID and Co. Limited</t>
  </si>
  <si>
    <t>Schedule of Pioneer Staff</t>
  </si>
  <si>
    <t>Names</t>
  </si>
  <si>
    <t>Company</t>
  </si>
  <si>
    <t>Salary</t>
  </si>
  <si>
    <t>Bayelsa total salary</t>
  </si>
  <si>
    <t>George Akume</t>
  </si>
  <si>
    <t>Lowest Salary</t>
  </si>
  <si>
    <t>Total no of staff in nasarawa</t>
  </si>
  <si>
    <t>Donald Duke</t>
  </si>
  <si>
    <t/>
  </si>
  <si>
    <t>Sam Egwu</t>
  </si>
  <si>
    <t>Fourth Highest Salary</t>
  </si>
  <si>
    <t>Third Lowest Salary</t>
  </si>
  <si>
    <t>Chimaroke Nnamani</t>
  </si>
  <si>
    <t>SUM</t>
  </si>
  <si>
    <t>AVERAGE</t>
  </si>
  <si>
    <t>MAX</t>
  </si>
  <si>
    <t>Bola Tinubu</t>
  </si>
  <si>
    <t>Abdullahi Adamu</t>
  </si>
  <si>
    <t>Nassarawa</t>
  </si>
  <si>
    <t>Ogun</t>
  </si>
  <si>
    <t>Olusegun Agagu</t>
  </si>
  <si>
    <t>Ondo</t>
  </si>
  <si>
    <t>Oyo</t>
  </si>
  <si>
    <t>Attahiru Bafarawa</t>
  </si>
  <si>
    <t>Sokoto</t>
  </si>
  <si>
    <t>Taraba</t>
  </si>
  <si>
    <t>Yobe</t>
  </si>
  <si>
    <t>End</t>
  </si>
  <si>
    <t>Goodluck Jonathan</t>
  </si>
  <si>
    <t>Bayelsa</t>
  </si>
  <si>
    <t>Bayelsa Total Salary</t>
  </si>
  <si>
    <t>Bukar Ibrahim</t>
  </si>
  <si>
    <t>Average Oyo Salary</t>
  </si>
  <si>
    <t>Jolly Nyame</t>
  </si>
  <si>
    <t>Highest Edo Salary</t>
  </si>
  <si>
    <t>Adamu Mu'azu</t>
  </si>
  <si>
    <t>Bauchi</t>
  </si>
  <si>
    <t>Lowest Taraba Salary</t>
  </si>
  <si>
    <t>Lucky Igbinedion</t>
  </si>
  <si>
    <t>Edo</t>
  </si>
  <si>
    <t>Total No of Staff in Nassarawa</t>
  </si>
  <si>
    <t>Peter Obi</t>
  </si>
  <si>
    <t>Gbenga Daniel</t>
  </si>
  <si>
    <t>Ahmed Makarfi</t>
  </si>
  <si>
    <t>Christopher Alao-Akala</t>
  </si>
  <si>
    <t>Achike Udenwa</t>
  </si>
  <si>
    <t>Bukola Saraki</t>
  </si>
  <si>
    <t>Ali Modu Sheriff</t>
  </si>
  <si>
    <t>Enugu</t>
  </si>
  <si>
    <t>Average Salary</t>
  </si>
  <si>
    <t>Highest Salary</t>
  </si>
  <si>
    <t>Anambra</t>
  </si>
  <si>
    <t>Kaduna</t>
  </si>
  <si>
    <t>Imo</t>
  </si>
  <si>
    <t>Kwara</t>
  </si>
  <si>
    <t>Borno</t>
  </si>
  <si>
    <t>Ebonyi</t>
  </si>
  <si>
    <t>Benue</t>
  </si>
  <si>
    <t>Lagos</t>
  </si>
  <si>
    <t>Cross River</t>
  </si>
  <si>
    <t>MIN</t>
  </si>
  <si>
    <t>LARGE</t>
  </si>
  <si>
    <t>SMALL</t>
  </si>
  <si>
    <t>COUNT</t>
  </si>
  <si>
    <t>COUNT A</t>
  </si>
  <si>
    <t>AVERAGEIF</t>
  </si>
  <si>
    <t>SUMIF</t>
  </si>
  <si>
    <t>SUMIFS</t>
  </si>
  <si>
    <t>AVERAGEIFS</t>
  </si>
  <si>
    <t>MAXIFS</t>
  </si>
  <si>
    <t>MINIFS</t>
  </si>
  <si>
    <t>COUNTIFS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</si>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</sst>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_);[Red]\(#,##0.0\);\ \ \-\ \ "/>
    <numFmt numFmtId="165" formatCode="#,##0_);\!\(#,##0\!\)"/>
    <numFmt numFmtId="166" formatCode="_-* #,##0_-;\-* #,##0_-;_-* &quot;-&quot;??_-;_-@_-"/>
  </numFmts>
  <fonts count="15" x14ac:knownFonts="1">
    <font>
      <sz val="10"/>
      <color rgb="FF000000"/>
      <name val="Arial"/>
      <scheme val="minor"/>
    </font>
    <font>
      <b/>
      <sz val="15"/>
      <color rgb="FF0E2841"/>
      <name val="Arial"/>
      <family val="2"/>
    </font>
    <font>
      <sz val="10"/>
      <color rgb="FF000000"/>
      <name val="Arial"/>
      <family val="2"/>
    </font>
    <font>
      <b/>
      <sz val="16"/>
      <color rgb="FF000000"/>
      <name val="Arial"/>
      <family val="2"/>
    </font>
    <font>
      <b/>
      <sz val="13"/>
      <color rgb="FFC00000"/>
      <name val="Arial"/>
      <family val="2"/>
    </font>
    <font>
      <b/>
      <sz val="12"/>
      <color rgb="FF595959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0070C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27"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4" fillId="3" borderId="1" xfId="0" applyNumberFormat="1" applyFont="1" applyFill="1" applyBorder="1"/>
    <xf numFmtId="164" fontId="5" fillId="3" borderId="1" xfId="0" applyNumberFormat="1" applyFont="1" applyFill="1" applyBorder="1"/>
    <xf numFmtId="165" fontId="6" fillId="4" borderId="2" xfId="0" applyNumberFormat="1" applyFont="1" applyFill="1" applyBorder="1" applyAlignment="1">
      <alignment horizontal="left" vertical="center" wrapText="1"/>
    </xf>
    <xf numFmtId="0" fontId="7" fillId="0" borderId="3" xfId="0" applyFont="1" applyBorder="1"/>
    <xf numFmtId="3" fontId="7" fillId="0" borderId="3" xfId="0" applyNumberFormat="1" applyFont="1" applyBorder="1"/>
    <xf numFmtId="0" fontId="8" fillId="0" borderId="0" xfId="0" applyFont="1"/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left"/>
    </xf>
    <xf numFmtId="0" fontId="9" fillId="0" borderId="0" xfId="0" applyFont="1"/>
    <xf numFmtId="0" fontId="7" fillId="0" borderId="0" xfId="0" applyFont="1"/>
    <xf numFmtId="0" fontId="10" fillId="0" borderId="0" xfId="0" applyFont="1"/>
    <xf numFmtId="3" fontId="7" fillId="0" borderId="3" xfId="0" applyNumberFormat="1" applyFont="1" applyBorder="1" applyAlignment="1">
      <alignment horizontal="left"/>
    </xf>
    <xf numFmtId="0" fontId="11" fillId="0" borderId="0" xfId="0" applyFont="1"/>
    <xf numFmtId="0" fontId="11" fillId="2" borderId="1" xfId="0" applyFont="1" applyFill="1" applyBorder="1"/>
    <xf numFmtId="0" fontId="11" fillId="0" borderId="0" xfId="0" applyFont="1" applyAlignment="1">
      <alignment vertical="center"/>
    </xf>
    <xf numFmtId="0" fontId="12" fillId="0" borderId="3" xfId="0" applyFont="1" applyBorder="1"/>
    <xf numFmtId="3" fontId="12" fillId="0" borderId="3" xfId="0" applyNumberFormat="1" applyFont="1" applyBorder="1" applyAlignment="1">
      <alignment horizontal="right"/>
    </xf>
    <xf numFmtId="3" fontId="11" fillId="5" borderId="4" xfId="0" applyNumberFormat="1" applyFont="1" applyFill="1" applyBorder="1" applyAlignment="1">
      <alignment horizontal="left"/>
    </xf>
    <xf numFmtId="3" fontId="11" fillId="5" borderId="4" xfId="0" applyNumberFormat="1" applyFont="1" applyFill="1" applyBorder="1"/>
    <xf numFmtId="0" fontId="12" fillId="0" borderId="3" xfId="0" applyFont="1" applyBorder="1" applyAlignment="1">
      <alignment wrapText="1"/>
    </xf>
    <xf numFmtId="0" fontId="13" fillId="2" borderId="1" xfId="0" applyFont="1" applyFill="1" applyBorder="1"/>
    <xf numFmtId="43" fontId="2" fillId="0" borderId="0" xfId="1" applyFont="1"/>
    <xf numFmtId="166" fontId="2" fillId="0" borderId="0" xfId="1" applyNumberFormat="1" applyFont="1"/>
  </cellXfs>
  <cellStyles count="2">
    <cellStyle name="Comma" xfId="1" builtinId="3"/>
    <cellStyle name="Normal" xfId="0" builtinId="0"/>
  </cellStyles>
  <dxfs count="1">
    <dxf>
      <fill>
        <patternFill patternType="solid">
          <fgColor rgb="FFD8D8D8"/>
          <bgColor rgb="FFD8D8D8"/>
        </patternFill>
      </fill>
      <border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Personal/Resources/Training/Power%2520Excel%25201/PE1%2520Materials/Participants'%2520Session%2520Files/Session_01/01.%2520PE1_VT_Basic_Excel_Functions_St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xercise"/>
      <sheetName val="Contact us"/>
      <sheetName val="Blank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pane ySplit="2" topLeftCell="A4" activePane="bottomLeft" state="frozen"/>
      <selection pane="bottomLeft" activeCell="K9" sqref="K9"/>
    </sheetView>
  </sheetViews>
  <sheetFormatPr defaultColWidth="12.6640625" defaultRowHeight="15" customHeight="1" x14ac:dyDescent="0.25"/>
  <cols>
    <col min="1" max="1" width="3.88671875" customWidth="1"/>
    <col min="2" max="2" width="20.21875" customWidth="1"/>
    <col min="3" max="3" width="13.33203125" customWidth="1"/>
    <col min="4" max="4" width="11.21875" customWidth="1"/>
    <col min="5" max="5" width="7" customWidth="1"/>
    <col min="6" max="6" width="3.109375" customWidth="1"/>
    <col min="7" max="7" width="32.109375" customWidth="1"/>
    <col min="8" max="8" width="19.5546875" customWidth="1"/>
    <col min="9" max="9" width="14.109375" customWidth="1"/>
    <col min="10" max="26" width="7" customWidth="1"/>
  </cols>
  <sheetData>
    <row r="1" spans="1:26" ht="19.2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x14ac:dyDescent="0.4">
      <c r="A2" s="3"/>
      <c r="B2" s="3">
        <f>[1]Menu!G4</f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8" x14ac:dyDescent="0.3">
      <c r="A4" s="4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5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B7" s="6" t="s">
        <v>2</v>
      </c>
      <c r="C7" s="6" t="s">
        <v>3</v>
      </c>
      <c r="D7" s="6" t="s">
        <v>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B8" s="7" t="s">
        <v>30</v>
      </c>
      <c r="C8" s="7" t="s">
        <v>31</v>
      </c>
      <c r="D8" s="8">
        <v>4974390</v>
      </c>
      <c r="E8" s="2"/>
      <c r="F8" s="2"/>
      <c r="G8" s="9" t="s">
        <v>32</v>
      </c>
      <c r="H8" s="25">
        <f>SUMIF(C8:C27,C8,D8:D27)</f>
        <v>11164905</v>
      </c>
      <c r="I8" s="2" t="s">
        <v>10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B9" s="7" t="s">
        <v>33</v>
      </c>
      <c r="C9" s="7" t="s">
        <v>28</v>
      </c>
      <c r="D9" s="8">
        <v>4972165</v>
      </c>
      <c r="E9" s="2"/>
      <c r="F9" s="2"/>
      <c r="G9" s="9" t="s">
        <v>34</v>
      </c>
      <c r="H9" s="8">
        <f>AVERAGEIF(C8:C27,C16,D8:D27)</f>
        <v>1983141</v>
      </c>
      <c r="I9" s="2" t="s">
        <v>10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B10" s="7" t="s">
        <v>35</v>
      </c>
      <c r="C10" s="7" t="s">
        <v>27</v>
      </c>
      <c r="D10" s="8">
        <v>4948277</v>
      </c>
      <c r="E10" s="2"/>
      <c r="F10" s="2"/>
      <c r="G10" s="9" t="s">
        <v>36</v>
      </c>
      <c r="H10" s="8">
        <v>4286346</v>
      </c>
      <c r="I10" s="2" t="s">
        <v>10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B11" s="7" t="s">
        <v>37</v>
      </c>
      <c r="C11" s="7" t="s">
        <v>38</v>
      </c>
      <c r="D11" s="8">
        <v>4740966</v>
      </c>
      <c r="E11" s="2"/>
      <c r="F11" s="2"/>
      <c r="G11" s="9" t="s">
        <v>39</v>
      </c>
      <c r="H11" s="8">
        <v>1226444</v>
      </c>
      <c r="I11" s="2" t="s">
        <v>10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B12" s="7" t="s">
        <v>40</v>
      </c>
      <c r="C12" s="7" t="s">
        <v>41</v>
      </c>
      <c r="D12" s="8">
        <v>4286346</v>
      </c>
      <c r="E12" s="2"/>
      <c r="F12" s="2"/>
      <c r="G12" s="9" t="s">
        <v>42</v>
      </c>
      <c r="H12" s="8">
        <v>4</v>
      </c>
      <c r="I12" s="2" t="s">
        <v>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B13" s="7" t="s">
        <v>43</v>
      </c>
      <c r="C13" s="7" t="s">
        <v>31</v>
      </c>
      <c r="D13" s="8">
        <v>4068987</v>
      </c>
      <c r="E13" s="2"/>
      <c r="F13" s="2"/>
      <c r="G13" s="2"/>
      <c r="H13" s="2"/>
      <c r="I13" s="2" t="s">
        <v>10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B14" s="7" t="s">
        <v>44</v>
      </c>
      <c r="C14" s="7" t="s">
        <v>27</v>
      </c>
      <c r="D14" s="8">
        <v>3896653</v>
      </c>
      <c r="E14" s="2"/>
      <c r="F14" s="2"/>
      <c r="G14" s="9"/>
      <c r="H14" s="2"/>
      <c r="I14" s="2" t="s"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B15" s="7" t="s">
        <v>45</v>
      </c>
      <c r="C15" s="7" t="s">
        <v>20</v>
      </c>
      <c r="D15" s="8">
        <v>3426608</v>
      </c>
      <c r="E15" s="2"/>
      <c r="F15" s="2"/>
      <c r="G15" s="9" t="s">
        <v>12</v>
      </c>
      <c r="H15" s="26">
        <f>LARGE(D8:D27, 4)</f>
        <v>4740966</v>
      </c>
      <c r="I15" s="2" t="s">
        <v>10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B16" s="7" t="s">
        <v>46</v>
      </c>
      <c r="C16" s="7" t="s">
        <v>24</v>
      </c>
      <c r="D16" s="8">
        <v>3028264</v>
      </c>
      <c r="E16" s="2"/>
      <c r="F16" s="2"/>
      <c r="G16" s="9" t="s">
        <v>13</v>
      </c>
      <c r="H16" s="26">
        <f>SMALL(D8:D27,3)</f>
        <v>1358916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B17" s="7" t="s">
        <v>47</v>
      </c>
      <c r="C17" s="7" t="s">
        <v>41</v>
      </c>
      <c r="D17" s="8">
        <v>2318996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B18" s="7" t="s">
        <v>48</v>
      </c>
      <c r="C18" s="7" t="s">
        <v>20</v>
      </c>
      <c r="D18" s="8">
        <v>2312631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B19" s="7" t="s">
        <v>49</v>
      </c>
      <c r="C19" s="7" t="s">
        <v>31</v>
      </c>
      <c r="D19" s="8">
        <v>2121528</v>
      </c>
      <c r="E19" s="2"/>
      <c r="F19" s="2"/>
      <c r="G19" s="2" t="s">
        <v>15</v>
      </c>
      <c r="H19" s="2" t="s">
        <v>68</v>
      </c>
      <c r="I19" s="2" t="s">
        <v>69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B20" s="11" t="s">
        <v>11</v>
      </c>
      <c r="C20" s="7" t="s">
        <v>27</v>
      </c>
      <c r="D20" s="8">
        <v>1643270</v>
      </c>
      <c r="E20" s="2"/>
      <c r="F20" s="2"/>
      <c r="G20" s="2" t="s">
        <v>16</v>
      </c>
      <c r="H20" s="2" t="s">
        <v>67</v>
      </c>
      <c r="I20" s="2" t="s">
        <v>70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B21" s="7" t="s">
        <v>22</v>
      </c>
      <c r="C21" s="7" t="s">
        <v>24</v>
      </c>
      <c r="D21" s="8">
        <v>1562243</v>
      </c>
      <c r="E21" s="2"/>
      <c r="F21" s="2"/>
      <c r="G21" s="2" t="s">
        <v>17</v>
      </c>
      <c r="H21" s="2"/>
      <c r="I21" s="2" t="s">
        <v>71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B22" s="7" t="s">
        <v>6</v>
      </c>
      <c r="C22" s="7" t="s">
        <v>41</v>
      </c>
      <c r="D22" s="8">
        <v>1407751</v>
      </c>
      <c r="E22" s="2"/>
      <c r="F22" s="2"/>
      <c r="G22" s="2" t="s">
        <v>62</v>
      </c>
      <c r="H22" s="2"/>
      <c r="I22" s="2" t="s">
        <v>72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B23" s="7" t="s">
        <v>14</v>
      </c>
      <c r="C23" s="7" t="s">
        <v>50</v>
      </c>
      <c r="D23" s="8">
        <v>1375956</v>
      </c>
      <c r="E23" s="2"/>
      <c r="F23" s="2"/>
      <c r="G23" s="2" t="s">
        <v>63</v>
      </c>
      <c r="H23" s="2" t="s">
        <v>74</v>
      </c>
      <c r="I23" s="2" t="s">
        <v>73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B24" s="7" t="s">
        <v>19</v>
      </c>
      <c r="C24" s="7" t="s">
        <v>20</v>
      </c>
      <c r="D24" s="8">
        <v>1364301</v>
      </c>
      <c r="E24" s="2"/>
      <c r="F24" s="2"/>
      <c r="G24" s="2" t="s">
        <v>64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B25" s="11" t="s">
        <v>25</v>
      </c>
      <c r="C25" s="7" t="s">
        <v>24</v>
      </c>
      <c r="D25" s="8">
        <v>1358916</v>
      </c>
      <c r="E25" s="2"/>
      <c r="F25" s="2"/>
      <c r="G25" s="2" t="s">
        <v>65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B26" s="10" t="s">
        <v>18</v>
      </c>
      <c r="C26" s="7" t="s">
        <v>27</v>
      </c>
      <c r="D26" s="8">
        <v>1226444</v>
      </c>
      <c r="E26" s="2"/>
      <c r="F26" s="2"/>
      <c r="G26" s="2" t="s">
        <v>66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B27" s="7" t="s">
        <v>9</v>
      </c>
      <c r="C27" s="7" t="s">
        <v>20</v>
      </c>
      <c r="D27" s="15">
        <v>1130642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2"/>
      <c r="B28" s="12"/>
      <c r="C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2"/>
      <c r="B29" s="1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2"/>
      <c r="B31" s="1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3"/>
      <c r="B32" s="1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4">
      <c r="A35" s="3" t="s">
        <v>29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7:D27" xr:uid="{00000000-0001-0000-0100-000000000000}"/>
  <conditionalFormatting sqref="H8:H12">
    <cfRule type="containsBlanks" dxfId="0" priority="1">
      <formula>LEN(TRIM(H8))=0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G14" sqref="G14:G15"/>
    </sheetView>
  </sheetViews>
  <sheetFormatPr defaultColWidth="12.6640625" defaultRowHeight="15" customHeight="1" x14ac:dyDescent="0.25"/>
  <cols>
    <col min="7" max="7" width="25.88671875" customWidth="1"/>
    <col min="8" max="8" width="17.21875" customWidth="1"/>
  </cols>
  <sheetData>
    <row r="1" spans="1:26" ht="13.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3.2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3.2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" customHeight="1" x14ac:dyDescent="0.3">
      <c r="A4" s="4" t="s">
        <v>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" customHeight="1" x14ac:dyDescent="0.3">
      <c r="A5" s="5" t="s">
        <v>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3.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5">
      <c r="A7" s="18"/>
      <c r="B7" s="6" t="s">
        <v>2</v>
      </c>
      <c r="C7" s="6" t="s">
        <v>3</v>
      </c>
      <c r="D7" s="6" t="s">
        <v>4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x14ac:dyDescent="0.25">
      <c r="A8" s="18"/>
      <c r="B8" s="19" t="s">
        <v>30</v>
      </c>
      <c r="C8" s="19" t="s">
        <v>31</v>
      </c>
      <c r="D8" s="20">
        <v>4974390</v>
      </c>
      <c r="E8" s="16"/>
      <c r="F8" s="16"/>
      <c r="G8" s="9" t="s">
        <v>5</v>
      </c>
      <c r="H8" s="21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5">
      <c r="A9" s="18"/>
      <c r="B9" s="19" t="s">
        <v>33</v>
      </c>
      <c r="C9" s="19" t="s">
        <v>28</v>
      </c>
      <c r="D9" s="20">
        <v>4972165</v>
      </c>
      <c r="E9" s="16"/>
      <c r="F9" s="16"/>
      <c r="G9" s="9" t="s">
        <v>51</v>
      </c>
      <c r="H9" s="22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5">
      <c r="A10" s="18"/>
      <c r="B10" s="19" t="s">
        <v>35</v>
      </c>
      <c r="C10" s="19" t="s">
        <v>27</v>
      </c>
      <c r="D10" s="20">
        <v>4948277</v>
      </c>
      <c r="E10" s="16"/>
      <c r="F10" s="16"/>
      <c r="G10" s="9" t="s">
        <v>52</v>
      </c>
      <c r="H10" s="22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5">
      <c r="A11" s="18"/>
      <c r="B11" s="19" t="s">
        <v>37</v>
      </c>
      <c r="C11" s="19" t="s">
        <v>38</v>
      </c>
      <c r="D11" s="20">
        <v>4740966</v>
      </c>
      <c r="E11" s="16"/>
      <c r="F11" s="16"/>
      <c r="G11" s="9" t="s">
        <v>7</v>
      </c>
      <c r="H11" s="22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5">
      <c r="A12" s="18"/>
      <c r="B12" s="19" t="s">
        <v>40</v>
      </c>
      <c r="C12" s="19" t="s">
        <v>41</v>
      </c>
      <c r="D12" s="20">
        <v>4286346</v>
      </c>
      <c r="E12" s="16"/>
      <c r="F12" s="16"/>
      <c r="G12" s="9" t="s">
        <v>8</v>
      </c>
      <c r="H12" s="22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5">
      <c r="A13" s="18"/>
      <c r="B13" s="19" t="s">
        <v>43</v>
      </c>
      <c r="C13" s="19" t="s">
        <v>53</v>
      </c>
      <c r="D13" s="20">
        <v>4068987</v>
      </c>
      <c r="E13" s="16"/>
      <c r="F13" s="16"/>
      <c r="G13" s="16"/>
      <c r="H13" s="16"/>
      <c r="I13" s="16" t="s">
        <v>10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5">
      <c r="A14" s="18"/>
      <c r="B14" s="19" t="s">
        <v>44</v>
      </c>
      <c r="C14" s="19" t="s">
        <v>21</v>
      </c>
      <c r="D14" s="20">
        <v>3896653</v>
      </c>
      <c r="E14" s="16"/>
      <c r="F14" s="16"/>
      <c r="G14" s="9" t="s">
        <v>12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5">
      <c r="A15" s="18"/>
      <c r="B15" s="19" t="s">
        <v>45</v>
      </c>
      <c r="C15" s="19" t="s">
        <v>54</v>
      </c>
      <c r="D15" s="20">
        <v>3426608</v>
      </c>
      <c r="E15" s="16"/>
      <c r="F15" s="16"/>
      <c r="G15" s="9" t="s">
        <v>13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5">
      <c r="A16" s="18"/>
      <c r="B16" s="19" t="s">
        <v>46</v>
      </c>
      <c r="C16" s="19" t="s">
        <v>24</v>
      </c>
      <c r="D16" s="20">
        <v>3028264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5">
      <c r="A17" s="18"/>
      <c r="B17" s="19" t="s">
        <v>47</v>
      </c>
      <c r="C17" s="19" t="s">
        <v>55</v>
      </c>
      <c r="D17" s="20">
        <v>2318996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5">
      <c r="A18" s="18"/>
      <c r="B18" s="19" t="s">
        <v>48</v>
      </c>
      <c r="C18" s="19" t="s">
        <v>56</v>
      </c>
      <c r="D18" s="20">
        <v>2312631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5">
      <c r="A19" s="18"/>
      <c r="B19" s="19" t="s">
        <v>49</v>
      </c>
      <c r="C19" s="19" t="s">
        <v>57</v>
      </c>
      <c r="D19" s="20">
        <v>2121528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5">
      <c r="A20" s="18"/>
      <c r="B20" s="19" t="s">
        <v>11</v>
      </c>
      <c r="C20" s="19" t="s">
        <v>58</v>
      </c>
      <c r="D20" s="20">
        <v>1643270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x14ac:dyDescent="0.25">
      <c r="A21" s="18"/>
      <c r="B21" s="19" t="s">
        <v>22</v>
      </c>
      <c r="C21" s="19" t="s">
        <v>23</v>
      </c>
      <c r="D21" s="20">
        <v>1562243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x14ac:dyDescent="0.25">
      <c r="A22" s="18"/>
      <c r="B22" s="19" t="s">
        <v>6</v>
      </c>
      <c r="C22" s="19" t="s">
        <v>59</v>
      </c>
      <c r="D22" s="20">
        <v>1407751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x14ac:dyDescent="0.25">
      <c r="A23" s="18"/>
      <c r="B23" s="19" t="s">
        <v>14</v>
      </c>
      <c r="C23" s="19" t="s">
        <v>50</v>
      </c>
      <c r="D23" s="20">
        <v>1375956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x14ac:dyDescent="0.25">
      <c r="A24" s="18"/>
      <c r="B24" s="19" t="s">
        <v>19</v>
      </c>
      <c r="C24" s="19" t="s">
        <v>20</v>
      </c>
      <c r="D24" s="20">
        <v>1364301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x14ac:dyDescent="0.25">
      <c r="A25" s="18"/>
      <c r="B25" s="19" t="s">
        <v>25</v>
      </c>
      <c r="C25" s="19" t="s">
        <v>26</v>
      </c>
      <c r="D25" s="20">
        <v>1358916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x14ac:dyDescent="0.25">
      <c r="A26" s="18"/>
      <c r="B26" s="23" t="s">
        <v>18</v>
      </c>
      <c r="C26" s="19" t="s">
        <v>60</v>
      </c>
      <c r="D26" s="20">
        <v>1226444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x14ac:dyDescent="0.25">
      <c r="A27" s="18"/>
      <c r="B27" s="19" t="s">
        <v>9</v>
      </c>
      <c r="C27" s="19" t="s">
        <v>61</v>
      </c>
      <c r="D27" s="20">
        <v>1130642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3.2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3.2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3.2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3.2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3.2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3.2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3.2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1" x14ac:dyDescent="0.4">
      <c r="A35" s="24" t="s">
        <v>29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3.2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3.2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3.2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3.2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3.2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3.2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3.2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3.2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3.2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3.2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3.2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3.2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3.2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3.2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3.2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3.2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3.2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3.2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3.2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3.2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3.2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3.2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3.2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3.2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3.2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3.2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3.2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3.2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3.2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3.2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3.2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3.2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3.2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3.2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3.2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3.2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3.2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3.2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3.2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3.2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3.2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3.2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3.2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3.2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3.2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3.2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3.2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3.2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3.2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3.2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3.2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3.2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3.2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3.2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3.2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3.2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3.2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3.2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3.2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3.2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3.2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3.2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3.2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3.2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3.2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3.2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3.2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3.2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3.2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3.2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3.2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3.2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3.2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3.2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3.2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3.2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3.2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3.2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3.2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3.2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3.2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3.2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3.2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3.2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3.2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3.2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3.2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3.2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3.2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3.2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3.2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3.2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3.2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3.2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3.2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3.2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3.2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3.2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3.2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3.2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3.2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3.2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3.2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3.2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3.2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3.2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3.2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3.2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3.2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3.2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3.2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3.2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3.2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3.2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3.2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3.2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3.2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3.2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3.2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3.2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3.2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3.2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3.2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3.2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3.2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3.2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3.2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3.2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3.2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3.2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3.2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3.2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3.2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3.2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3.2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3.2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3.2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3.2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3.2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3.2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3.2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3.2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3.2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3.2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3.2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3.2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3.2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3.2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3.2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3.2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3.2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3.2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3.2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3.2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3.2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3.2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3.2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3.2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3.2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3.2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3.2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3.2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3.2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3.2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3.2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3.2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3.2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3.2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3.2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3.2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3.2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3.2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3.2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3.2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3.2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3.2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3.2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3.2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3.2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3.2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3.2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3.2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3.2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3.2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3.2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3.2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3.2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3.2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3.2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3.2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3.2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3.2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3.2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3.2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3.2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3.2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3.2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3.2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3.2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3.2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3.2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3.2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3.2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3.2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3.2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3.2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3.2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3.2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3.2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3.2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3.2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3.2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3.2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3.2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3.2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3.2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3.2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3.2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3.2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3.2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3.2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3.2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3.2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3.2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3.2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3.2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3.2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3.2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3.2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3.2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3.2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3.2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3.2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3.2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3.2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3.2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3.2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3.2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3.2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3.2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3.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3.2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3.2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3.2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3.2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3.2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3.2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3.2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3.2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3.2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3.2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3.2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3.2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3.2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3.2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3.2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3.2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3.2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3.2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3.2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3.2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3.2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3.2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3.2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3.2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3.2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3.2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3.2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3.2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3.2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3.2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3.2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3.2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3.2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3.2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3.2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3.2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3.2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3.2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3.2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3.2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3.2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3.2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3.2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3.2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3.2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3.2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3.2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3.2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3.2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3.2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3.2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3.2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3.2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3.2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3.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3.2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3.2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3.2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3.2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3.2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3.2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3.2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3.2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3.2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3.2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3.2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3.2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3.2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3.2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3.2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3.2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3.2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3.2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3.2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3.2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3.2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3.2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3.2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3.2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3.2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3.2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3.2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3.2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3.2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3.2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3.2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3.2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3.2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3.2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3.2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3.2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3.2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3.2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3.2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3.2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3.2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3.2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3.2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3.2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3.2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3.2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3.2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3.2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3.2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3.2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3.2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3.2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3.2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3.2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3.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3.2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3.2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3.2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3.2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3.2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3.2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3.2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3.2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3.2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3.2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3.2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3.2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3.2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3.2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3.2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3.2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3.2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3.2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3.2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3.2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3.2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3.2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3.2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3.2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3.2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3.2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3.2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3.2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3.2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3.2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3.2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3.2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3.2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3.2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3.2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3.2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3.2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3.2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3.2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3.2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3.2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3.2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3.2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3.2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3.2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3.2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3.2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3.2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3.2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3.2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3.2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3.2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3.2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3.2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3.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3.2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3.2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3.2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3.2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3.2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3.2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3.2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3.2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3.2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3.2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3.2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3.2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3.2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3.2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3.2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3.2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3.2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3.2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3.2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3.2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3.2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3.2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3.2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3.2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3.2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3.2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3.2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3.2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3.2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3.2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3.2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3.2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3.2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3.2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3.2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3.2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3.2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3.2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3.2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3.2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3.2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3.2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3.2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3.2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3.2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3.2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3.2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3.2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3.2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3.2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3.2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3.2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3.2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3.2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3.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3.2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3.2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3.2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3.2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3.2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3.2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3.2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3.2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3.2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3.2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3.2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3.2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3.2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3.2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3.2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3.2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3.2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3.2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3.2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3.2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3.2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3.2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3.2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3.2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3.2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3.2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3.2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3.2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3.2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3.2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3.2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3.2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3.2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3.2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3.2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3.2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3.2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3.2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3.2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3.2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3.2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3.2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3.2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3.2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3.2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3.2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3.2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3.2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3.2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3.2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3.2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3.2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3.2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3.2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3.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3.2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3.2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3.2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3.2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3.2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3.2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3.2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3.2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3.2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3.2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3.2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3.2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3.2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3.2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3.2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3.2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3.2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3.2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3.2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3.2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3.2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3.2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3.2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3.2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3.2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3.2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3.2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3.2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3.2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3.2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3.2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3.2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3.2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3.2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3.2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3.2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3.2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3.2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3.2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3.2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3.2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3.2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3.2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3.2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3.2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3.2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3.2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3.2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3.2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3.2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3.2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3.2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3.2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3.2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3.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3.2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3.2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3.2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3.2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3.2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3.2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3.2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3.2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3.2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3.2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3.2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3.2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3.2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3.2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3.2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3.2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3.2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3.2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3.2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3.2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3.2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3.2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3.2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3.2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3.2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3.2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3.2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3.2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3.2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3.2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3.2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3.2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3.2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3.2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3.2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3.2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3.2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3.2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3.2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3.2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3.2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3.2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3.2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3.2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3.2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3.2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3.2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3.2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3.2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3.2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3.2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3.2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3.2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3.2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3.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3.2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3.2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3.2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3.2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3.2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3.2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3.2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3.2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3.2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3.2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3.2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3.2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3.2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3.2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3.2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3.2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3.2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3.2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3.2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3.2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3.2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3.2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3.2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3.2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3.2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3.2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3.2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3.2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3.2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3.2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3.2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3.2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3.2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3.2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3.2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3.2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3.2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3.2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3.2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3.2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3.2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3.2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3.2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3.2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3.2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3.2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3.2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3.2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3.2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3.2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3.2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3.2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3.2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3.2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3.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3.2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3.2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3.2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3.2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3.2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3.2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3.2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3.2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3.2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3.2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3.2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3.2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3.2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3.2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3.2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3.2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3.2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3.2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3.2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3.2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3.2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3.2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3.2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3.2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3.2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3.2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3.2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3.2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3.2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3.2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3.2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3.2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3.2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3.2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3.2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3.2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3.2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3.2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3.2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3.2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3.2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3.2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3.2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3.2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3.2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3.2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3.2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3.2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3.2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3.2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3.2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3.2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3.2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3.2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3.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3.2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3.2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3.2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3.2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3.2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3.2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3.2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3.2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3.2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3.2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3.2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3.2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3.2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3.2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3.2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3.2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3.2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3.2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3.2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3.2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3.2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3.2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3.2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3.2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3.2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3.2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3.2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3.2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3.2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3.2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3.2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3.2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3.2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3.2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3.2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3.2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3.2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3.2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3.2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3.2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3.2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3.2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3.2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3.2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3.2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3.2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3.2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3.2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3.2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3.2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3.2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3.2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3.2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3.2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3.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3.2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3.2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3.2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3.2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3.2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3.2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3.2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3.2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3.2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3.2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3.2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3.2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3.2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3.2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3.2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3.2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3.2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3.2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3.2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3.2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3.2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3.2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3.2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3.2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3.2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3.2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3.2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3.2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3.2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3.2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3.2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3.2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3.2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3.2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3.2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3.2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3.2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3.2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3.2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3.2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3.2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3.2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3.2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3.2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3.2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3.2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3.2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3.2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3.2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3.2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3.2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3.2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3.2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3.2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3.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3.2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3.2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3.2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3.2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3.2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3.2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3.2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3.2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3.2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3.2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3.2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3.2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3.2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3.2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3.2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3.2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3.2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3.2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3.2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3.2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3.2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3.2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3.2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3.2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3.2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3.2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3.2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3.2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3.2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3.2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3.2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3.2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3.2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3.2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3.2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3.2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3.2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3.2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3.2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3.2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3.2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3.2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3.2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3.2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3.2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3.2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3.2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3.2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3.2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3.2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3.2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3.2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3.2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3.2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3.2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3.2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3.2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3.2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3.2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3.2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3.2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3.2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3.2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3.2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3.2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3.2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3.2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3.2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3.2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3.2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3.2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3.2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3.2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3.2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3.2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3.2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3.2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3.2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3.2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3.2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3.2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3.2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3.2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3.2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3.2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3.2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3.2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3.2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3.2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3.2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3.2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3.2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3.2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3.2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3.2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3.2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3.2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3.2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3.2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3.2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3.2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3.2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3.2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3.2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3.2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3.2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3.2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3.2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3.2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3.2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3.2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3.2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3.2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3.2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3.2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3.2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3.2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3.2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3.2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Conditionals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Muhsin Hameed</dc:creator>
  <cp:lastModifiedBy>Ade Adetosoye</cp:lastModifiedBy>
  <dcterms:created xsi:type="dcterms:W3CDTF">2024-08-23T14:09:19Z</dcterms:created>
  <dcterms:modified xsi:type="dcterms:W3CDTF">2025-07-14T11:53:41Z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65dca5dbf3e54af9bb9fd8030532eb4f</vt:lpwstr>
  </property>
</Properties>
</file>