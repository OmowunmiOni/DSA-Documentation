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NewUser\Downloads\"/>
    </mc:Choice>
  </mc:AlternateContent>
  <xr:revisionPtr revIDLastSave="0" documentId="13_ncr:1_{6A53D849-471E-4869-ACA3-F6949051340D}" xr6:coauthVersionLast="47" xr6:coauthVersionMax="47" xr10:uidLastSave="{00000000-0000-0000-0000-000000000000}"/>
  <bookViews>
    <workbookView xWindow="-108" yWindow="-108" windowWidth="23256" windowHeight="14016" activeTab="1" xr2:uid="{00000000-000D-0000-FFFF-FFFF00000000}"/>
  </bookViews>
  <sheets>
    <sheet name="Database" sheetId="1" r:id="rId1"/>
    <sheet name="XLOOKUP Practice" sheetId="3" r:id="rId2"/>
    <sheet name="Simple Salary Structure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LZkrGh6nDejOx4udGVFdiWeDM67vtlnprlCc1PgdCz4="/>
    </ext>
  </extLst>
</workbook>
</file>

<file path=xl/calcChain.xml><?xml version="1.0" encoding="utf-8"?>
<calcChain xmlns="http://schemas.openxmlformats.org/spreadsheetml/2006/main">
  <c r="F8" i="3" l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</calcChain>
</file>

<file path=xl/sharedStrings.xml><?xml version="1.0" encoding="utf-8"?>
<sst xmlns="http://schemas.openxmlformats.org/spreadsheetml/2006/main" count="740" uniqueCount="214">
  <si>
    <t>Dynamic Salary Compensation Schedule</t>
  </si>
  <si>
    <t>Salary Compensation Schedule</t>
  </si>
  <si>
    <t>as at 1 January 2020</t>
  </si>
  <si>
    <t>S/N</t>
  </si>
  <si>
    <t>Employee Number</t>
  </si>
  <si>
    <t>Employee Names</t>
  </si>
  <si>
    <t>Department</t>
  </si>
  <si>
    <t>Grade Level</t>
  </si>
  <si>
    <t xml:space="preserve">Basic </t>
  </si>
  <si>
    <t>Housing</t>
  </si>
  <si>
    <t>Transport</t>
  </si>
  <si>
    <t>Leave</t>
  </si>
  <si>
    <t>Meal</t>
  </si>
  <si>
    <t>Utility</t>
  </si>
  <si>
    <t>Gross Pay</t>
  </si>
  <si>
    <t>KP15865</t>
  </si>
  <si>
    <t>Kosoko Dayo David</t>
  </si>
  <si>
    <t>Finance</t>
  </si>
  <si>
    <t>Semi Senior</t>
  </si>
  <si>
    <t>KP11781</t>
  </si>
  <si>
    <t>Paimo Tosin Ade</t>
  </si>
  <si>
    <t>Human Resources</t>
  </si>
  <si>
    <t>ESA</t>
  </si>
  <si>
    <t>KP16450</t>
  </si>
  <si>
    <t>Bello Joseph Olakunle</t>
  </si>
  <si>
    <t>Forensic</t>
  </si>
  <si>
    <t>KP15773</t>
  </si>
  <si>
    <t>Ogidan Mutiu Olalekan</t>
  </si>
  <si>
    <t>Sales</t>
  </si>
  <si>
    <t>Senior 3</t>
  </si>
  <si>
    <t>KP11077</t>
  </si>
  <si>
    <t>Chukwu Nonso Stephen</t>
  </si>
  <si>
    <t>Senior 2</t>
  </si>
  <si>
    <t>KP18060</t>
  </si>
  <si>
    <t>Otobo Lawrence Faith</t>
  </si>
  <si>
    <t>KP14683</t>
  </si>
  <si>
    <t>Goodluck Patience Hope</t>
  </si>
  <si>
    <t>Manager</t>
  </si>
  <si>
    <t>KP12910</t>
  </si>
  <si>
    <t>Adepeju Kunle Taiwo</t>
  </si>
  <si>
    <t>Senior Manager</t>
  </si>
  <si>
    <t>KP12607</t>
  </si>
  <si>
    <t>Obafemi Emmanuel O</t>
  </si>
  <si>
    <t>Director</t>
  </si>
  <si>
    <t>KP14887</t>
  </si>
  <si>
    <t>Jegede Bosede Taiwo</t>
  </si>
  <si>
    <t>KP18031</t>
  </si>
  <si>
    <t>Obasanjo Dele Fabregas</t>
  </si>
  <si>
    <t>KP10567</t>
  </si>
  <si>
    <t>Olowo Ade Ribadu</t>
  </si>
  <si>
    <t>KP19147</t>
  </si>
  <si>
    <t>Benjamin Remilekun Badmus</t>
  </si>
  <si>
    <t>KP16405</t>
  </si>
  <si>
    <t>Ajibola Adepeju Patience</t>
  </si>
  <si>
    <t>KP15041</t>
  </si>
  <si>
    <t>Pepple Tioluwani Rose</t>
  </si>
  <si>
    <t>KP19525</t>
  </si>
  <si>
    <t>Oghenegare Godwin Daniel</t>
  </si>
  <si>
    <t>KP16159</t>
  </si>
  <si>
    <t>Agede Vivian Pero</t>
  </si>
  <si>
    <t>KP10700</t>
  </si>
  <si>
    <t>Aguijoke Sarah G</t>
  </si>
  <si>
    <t>Senior 1</t>
  </si>
  <si>
    <t>KP15394</t>
  </si>
  <si>
    <t>Tenumah Gloria O</t>
  </si>
  <si>
    <t>KP12803</t>
  </si>
  <si>
    <t>Odion Esther Faith</t>
  </si>
  <si>
    <t>SA</t>
  </si>
  <si>
    <t>KP11868</t>
  </si>
  <si>
    <t>Salami Peju Kenny</t>
  </si>
  <si>
    <t>KP12786</t>
  </si>
  <si>
    <t>Badmus Agnes Nnaji</t>
  </si>
  <si>
    <t>KP13717</t>
  </si>
  <si>
    <t>Edeaghe Gabriel Alex</t>
  </si>
  <si>
    <t>KP11851</t>
  </si>
  <si>
    <t>Sada Moses Omogho</t>
  </si>
  <si>
    <t>KP13989</t>
  </si>
  <si>
    <t>Jonah Joshua John</t>
  </si>
  <si>
    <t>KP10863</t>
  </si>
  <si>
    <t>Fashola Bashy Teni</t>
  </si>
  <si>
    <t>KP10035</t>
  </si>
  <si>
    <t>Tinubu Adebambo Eni</t>
  </si>
  <si>
    <t>KP14774</t>
  </si>
  <si>
    <t>Taiwo Dele Dayo</t>
  </si>
  <si>
    <t>KP10665</t>
  </si>
  <si>
    <t>Fashina Nonso Dale</t>
  </si>
  <si>
    <t>KP12207</t>
  </si>
  <si>
    <t>Atiku Adeyemi Ponle</t>
  </si>
  <si>
    <t>KP11657</t>
  </si>
  <si>
    <t>Odunlade Bolanle Timi</t>
  </si>
  <si>
    <t>KP18916</t>
  </si>
  <si>
    <t>Omidina Janet Alade</t>
  </si>
  <si>
    <t>KP17720</t>
  </si>
  <si>
    <t>Oguchukwu Mary Martha</t>
  </si>
  <si>
    <t>KP14061</t>
  </si>
  <si>
    <t>Kuti Josephine Peace</t>
  </si>
  <si>
    <t>KP11580</t>
  </si>
  <si>
    <t>Abdulkareem Tony Keffi</t>
  </si>
  <si>
    <t>KP19978</t>
  </si>
  <si>
    <t>Goodluck Kyle Eni</t>
  </si>
  <si>
    <t>KP17971</t>
  </si>
  <si>
    <t>Adepeju Michael Dayo</t>
  </si>
  <si>
    <t>KP19734</t>
  </si>
  <si>
    <t>Obafemi Mary Dale</t>
  </si>
  <si>
    <t>KP15720</t>
  </si>
  <si>
    <t>Jegede Mathew Sunday</t>
  </si>
  <si>
    <t>KP14577</t>
  </si>
  <si>
    <t>Kosoko Lawrence G</t>
  </si>
  <si>
    <t>KP10097</t>
  </si>
  <si>
    <t>Paimo Patience O</t>
  </si>
  <si>
    <t>KP18812</t>
  </si>
  <si>
    <t>Bello Kunle Faith</t>
  </si>
  <si>
    <t>KP10924</t>
  </si>
  <si>
    <t>Ogidan Emmanuel Kenny</t>
  </si>
  <si>
    <t>KP12317</t>
  </si>
  <si>
    <t>Chukwu Bosede Nnaji</t>
  </si>
  <si>
    <t>KP14131</t>
  </si>
  <si>
    <t>Otobo Dele Alex</t>
  </si>
  <si>
    <t>KP15427</t>
  </si>
  <si>
    <t>Goodluck Ade Omogho</t>
  </si>
  <si>
    <t>KP15065</t>
  </si>
  <si>
    <t>Adepeju Remilekun John</t>
  </si>
  <si>
    <t>KP15510</t>
  </si>
  <si>
    <t>Obafemi Adepeju Teni</t>
  </si>
  <si>
    <t>KP13020</t>
  </si>
  <si>
    <t>Jegede Tioluwani Eni</t>
  </si>
  <si>
    <t>KP14142</t>
  </si>
  <si>
    <t>Obasanjo Godwin Dayo</t>
  </si>
  <si>
    <t>KP18990</t>
  </si>
  <si>
    <t>Olowo Vivian Dale</t>
  </si>
  <si>
    <t>KP18092</t>
  </si>
  <si>
    <t>Benjamin Sarah Ponle</t>
  </si>
  <si>
    <t>KP17317</t>
  </si>
  <si>
    <t>Ajibola Gloria Timi</t>
  </si>
  <si>
    <t>KP18644</t>
  </si>
  <si>
    <t>Pepple Esther Alade</t>
  </si>
  <si>
    <t>KP16704</t>
  </si>
  <si>
    <t>Oghenegare Peju Martha</t>
  </si>
  <si>
    <t>KP11584</t>
  </si>
  <si>
    <t>Agede Agnes Peace</t>
  </si>
  <si>
    <t>KP13827</t>
  </si>
  <si>
    <t>Aguijoke Gabriel Keffi</t>
  </si>
  <si>
    <t>KP12307</t>
  </si>
  <si>
    <t>Tenumah Moses Eni</t>
  </si>
  <si>
    <t>KP14831</t>
  </si>
  <si>
    <t>Odion Joshua Dayo</t>
  </si>
  <si>
    <t>KP11276</t>
  </si>
  <si>
    <t>Salami Bashy Dale</t>
  </si>
  <si>
    <t>KP15512</t>
  </si>
  <si>
    <t>Badmus Adebambo Sunday</t>
  </si>
  <si>
    <t>KP17813</t>
  </si>
  <si>
    <t>Edeaghe Tosin Faith</t>
  </si>
  <si>
    <t>KP15081</t>
  </si>
  <si>
    <t>Benjamin Dayo Hope</t>
  </si>
  <si>
    <t>KP12854</t>
  </si>
  <si>
    <t>Ajibola Tosin Taiwo</t>
  </si>
  <si>
    <t>KP17442</t>
  </si>
  <si>
    <t>Pepple Joseph O</t>
  </si>
  <si>
    <t>KP16567</t>
  </si>
  <si>
    <t>Oghenegare Mutiu Taiwo</t>
  </si>
  <si>
    <t>KP19914</t>
  </si>
  <si>
    <t>Agede Nonso Fabregas</t>
  </si>
  <si>
    <t>KP13369</t>
  </si>
  <si>
    <t>Aguijoke Lawrence Ribadu</t>
  </si>
  <si>
    <t>KP17063</t>
  </si>
  <si>
    <t>Tenumah Patience Badmus</t>
  </si>
  <si>
    <t>KP17364</t>
  </si>
  <si>
    <t>Odion Kunle Patience</t>
  </si>
  <si>
    <t>KP13523</t>
  </si>
  <si>
    <t>Salami Emmanuel Rose</t>
  </si>
  <si>
    <t>KP13386</t>
  </si>
  <si>
    <t>Badmus Bosede Daniel</t>
  </si>
  <si>
    <t>KP15357</t>
  </si>
  <si>
    <t>Edeaghe Dele Pero</t>
  </si>
  <si>
    <t>KP13050</t>
  </si>
  <si>
    <t>Sada Ade G</t>
  </si>
  <si>
    <t>KP12032</t>
  </si>
  <si>
    <t>Jonah Remilekun O</t>
  </si>
  <si>
    <t>KP14736</t>
  </si>
  <si>
    <t>Fashola Adepeju Faith</t>
  </si>
  <si>
    <t>KP13815</t>
  </si>
  <si>
    <t>Tinubu Tioluwani Kenny</t>
  </si>
  <si>
    <t>KP13734</t>
  </si>
  <si>
    <t>Taiwo Godwin Nnaji</t>
  </si>
  <si>
    <t>KP11947</t>
  </si>
  <si>
    <t>Fashina Vivian Alex</t>
  </si>
  <si>
    <t>KP18619</t>
  </si>
  <si>
    <t>Atiku Sarah Tolu</t>
  </si>
  <si>
    <t>KP10829</t>
  </si>
  <si>
    <t>Odunlade Gloria Zino</t>
  </si>
  <si>
    <t>KP19318</t>
  </si>
  <si>
    <t>Omidina Esther Wele</t>
  </si>
  <si>
    <t>KP18958</t>
  </si>
  <si>
    <t>Oguchukwu Peju Godwin</t>
  </si>
  <si>
    <t>KP19261</t>
  </si>
  <si>
    <t>Kuti Agnes Vivian</t>
  </si>
  <si>
    <t>KP13102</t>
  </si>
  <si>
    <t>Abdulkareem Gabriel Sarah</t>
  </si>
  <si>
    <t>Salary Structure Chart</t>
  </si>
  <si>
    <t>Based on a single Salary Scale per Level</t>
  </si>
  <si>
    <t>Level</t>
  </si>
  <si>
    <t>Basic</t>
  </si>
  <si>
    <t>Gross</t>
  </si>
  <si>
    <t>Relative referencing</t>
  </si>
  <si>
    <t>Absolute referencing</t>
  </si>
  <si>
    <t>Column constant</t>
  </si>
  <si>
    <t>Row constant</t>
  </si>
  <si>
    <t>old salaries</t>
  </si>
  <si>
    <t>new salaries</t>
  </si>
  <si>
    <t>increment</t>
  </si>
  <si>
    <t>O8</t>
  </si>
  <si>
    <t>$O$8</t>
  </si>
  <si>
    <t>$O8</t>
  </si>
  <si>
    <t>O$8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</si>
</sst>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_);[Red]\(#,##0.0\);\ \ \-\ \ "/>
  </numFmts>
  <fonts count="10" x14ac:knownFonts="1">
    <font>
      <sz val="10"/>
      <color rgb="FF000000"/>
      <name val="Arial"/>
      <scheme val="minor"/>
    </font>
    <font>
      <b/>
      <sz val="15"/>
      <color rgb="FF0E2841"/>
      <name val="Arial"/>
      <family val="2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b/>
      <sz val="13"/>
      <color rgb="FFC00000"/>
      <name val="Arial"/>
      <family val="2"/>
    </font>
    <font>
      <b/>
      <sz val="13"/>
      <color rgb="FF595959"/>
      <name val="Arial"/>
      <family val="2"/>
    </font>
    <font>
      <sz val="11"/>
      <color theme="1"/>
      <name val="Arial"/>
      <family val="2"/>
    </font>
    <font>
      <b/>
      <sz val="12"/>
      <color rgb="FF595959"/>
      <name val="Arial"/>
      <family val="2"/>
    </font>
    <font>
      <sz val="11"/>
      <color theme="0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595959"/>
        <bgColor rgb="FF595959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2" fillId="2" borderId="1" xfId="0" applyFont="1" applyFill="1" applyBorder="1"/>
    <xf numFmtId="164" fontId="4" fillId="3" borderId="1" xfId="0" applyNumberFormat="1" applyFont="1" applyFill="1" applyBorder="1"/>
    <xf numFmtId="164" fontId="5" fillId="3" borderId="1" xfId="0" applyNumberFormat="1" applyFont="1" applyFill="1" applyBorder="1"/>
    <xf numFmtId="37" fontId="6" fillId="0" borderId="2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4" fontId="6" fillId="0" borderId="5" xfId="0" applyNumberFormat="1" applyFont="1" applyBorder="1" applyAlignment="1">
      <alignment vertical="center"/>
    </xf>
    <xf numFmtId="164" fontId="7" fillId="3" borderId="1" xfId="0" applyNumberFormat="1" applyFont="1" applyFill="1" applyBorder="1"/>
    <xf numFmtId="3" fontId="2" fillId="0" borderId="0" xfId="0" applyNumberFormat="1" applyFont="1"/>
    <xf numFmtId="37" fontId="8" fillId="4" borderId="6" xfId="0" applyNumberFormat="1" applyFont="1" applyFill="1" applyBorder="1" applyAlignment="1">
      <alignment horizontal="left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6" fillId="0" borderId="7" xfId="0" applyFont="1" applyBorder="1"/>
    <xf numFmtId="4" fontId="6" fillId="0" borderId="7" xfId="0" applyNumberFormat="1" applyFont="1" applyBorder="1" applyAlignment="1">
      <alignment horizontal="center"/>
    </xf>
    <xf numFmtId="0" fontId="9" fillId="0" borderId="0" xfId="0" applyFont="1"/>
  </cellXfs>
  <cellStyles count="1">
    <cellStyle name="Normal" xfId="0" builtinId="0"/>
  </cellStyles>
  <dxfs count="17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Database-style" pivot="0" count="3" xr9:uid="{00000000-0011-0000-FFFF-FFFF00000000}">
      <tableStyleElement type="headerRow" dxfId="16"/>
      <tableStyleElement type="firstRowStripe" dxfId="15"/>
      <tableStyleElement type="secondRowStripe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8:L93">
  <tableColumns count="12">
    <tableColumn id="1" xr3:uid="{00000000-0010-0000-0000-000001000000}" name="S/N"/>
    <tableColumn id="2" xr3:uid="{00000000-0010-0000-0000-000002000000}" name="Employee Number"/>
    <tableColumn id="3" xr3:uid="{00000000-0010-0000-0000-000003000000}" name="Employee Names"/>
    <tableColumn id="4" xr3:uid="{00000000-0010-0000-0000-000004000000}" name="Department"/>
    <tableColumn id="5" xr3:uid="{00000000-0010-0000-0000-000005000000}" name="Grade Level"/>
    <tableColumn id="6" xr3:uid="{00000000-0010-0000-0000-000006000000}" name="Basic " dataDxfId="13">
      <calculatedColumnFormula>VLOOKUP(Table1[[#This Row],[Grade Level]],'Simple Salary Structure'!$B$7:$I$16,2,0)</calculatedColumnFormula>
    </tableColumn>
    <tableColumn id="7" xr3:uid="{00000000-0010-0000-0000-000007000000}" name="Housing" dataDxfId="12">
      <calculatedColumnFormula>VLOOKUP(Table1[[#This Row],[Grade Level]],'Simple Salary Structure'!$B$7:$I$16,3,0)</calculatedColumnFormula>
    </tableColumn>
    <tableColumn id="8" xr3:uid="{00000000-0010-0000-0000-000008000000}" name="Transport" dataDxfId="11">
      <calculatedColumnFormula>VLOOKUP(Table1[[#This Row],[Grade Level]],'Simple Salary Structure'!$B$8:$I$16,4,0)</calculatedColumnFormula>
    </tableColumn>
    <tableColumn id="9" xr3:uid="{00000000-0010-0000-0000-000009000000}" name="Leave" dataDxfId="10">
      <calculatedColumnFormula>VLOOKUP(Table1[[#This Row],[Grade Level]],'Simple Salary Structure'!$B$7:$I$16,5,0)</calculatedColumnFormula>
    </tableColumn>
    <tableColumn id="10" xr3:uid="{00000000-0010-0000-0000-00000A000000}" name="Meal" dataDxfId="9">
      <calculatedColumnFormula>VLOOKUP(Table1[[#This Row],[Grade Level]],'Simple Salary Structure'!$B$7:$I$16,6,0)</calculatedColumnFormula>
    </tableColumn>
    <tableColumn id="11" xr3:uid="{00000000-0010-0000-0000-00000B000000}" name="Utility" dataDxfId="8">
      <calculatedColumnFormula>VLOOKUP(Table1[[#This Row],[Grade Level]],'Simple Salary Structure'!$B$7:$I$16,7,0)</calculatedColumnFormula>
    </tableColumn>
    <tableColumn id="12" xr3:uid="{00000000-0010-0000-0000-00000C000000}" name="Gross Pay" dataDxfId="7">
      <calculatedColumnFormula>VLOOKUP(Table1[[#This Row],[Grade Level]],'Simple Salary Structure'!$B$7:$I$16,8,0)</calculatedColumnFormula>
    </tableColumn>
  </tableColumns>
  <tableStyleInfo name="Databas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48126A-FB98-4F17-8437-8115292F95FF}" name="Table13" displayName="Table13" ref="A7:L92">
  <tableColumns count="12">
    <tableColumn id="1" xr3:uid="{3843FE96-EF84-4E73-918D-E076BA885BD7}" name="S/N"/>
    <tableColumn id="2" xr3:uid="{E2F3FE8B-B025-460B-95F2-977A30F1FA15}" name="Employee Number"/>
    <tableColumn id="3" xr3:uid="{E61867CF-D9FC-448A-A027-D6542C53F3A6}" name="Employee Names"/>
    <tableColumn id="4" xr3:uid="{BF558537-3454-4006-8202-930BEC5806C8}" name="Department"/>
    <tableColumn id="5" xr3:uid="{4244290F-C8C4-4301-B525-3BC01FBD46BF}" name="Grade Level"/>
    <tableColumn id="6" xr3:uid="{8BB3D86C-18F1-49FE-8874-E71C34D03B82}" name="Basic " dataDxfId="6">
      <calculatedColumnFormula>_xlfn.XLOOKUP(Table13[[#This Row],[Grade Level]],'Simple Salary Structure'!$B$7:$B$16,'Simple Salary Structure'!C7:C16)</calculatedColumnFormula>
    </tableColumn>
    <tableColumn id="7" xr3:uid="{BF1871CB-0DD7-4D60-92BA-48C68EF19CEE}" name="Housing" dataDxfId="5"/>
    <tableColumn id="8" xr3:uid="{5941881A-8213-47E3-882F-3AFF033FF0ED}" name="Transport" dataDxfId="4"/>
    <tableColumn id="9" xr3:uid="{851DD2D1-A8E0-4751-A052-86F7C934446F}" name="Leave" dataDxfId="3"/>
    <tableColumn id="10" xr3:uid="{BA477A93-BE5A-469B-B2E2-34D349BE1582}" name="Meal" dataDxfId="2"/>
    <tableColumn id="11" xr3:uid="{12F92503-EF67-4125-A6FC-F779FA477FFE}" name="Utility" dataDxfId="1"/>
    <tableColumn id="12" xr3:uid="{8F6F1A8D-A9A5-4A66-91FF-18ADB880B9B8}" name="Gross Pay" dataDxfId="0"/>
  </tableColumns>
  <tableStyleInfo name="Databas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opLeftCell="D1" workbookViewId="0">
      <selection activeCell="A2" sqref="A2:L93"/>
    </sheetView>
  </sheetViews>
  <sheetFormatPr defaultColWidth="12.6640625" defaultRowHeight="15" customHeight="1" x14ac:dyDescent="0.25"/>
  <cols>
    <col min="1" max="1" width="4.44140625" customWidth="1"/>
    <col min="2" max="2" width="14.44140625" customWidth="1"/>
    <col min="3" max="3" width="29.109375" customWidth="1"/>
    <col min="4" max="4" width="21.109375" customWidth="1"/>
    <col min="5" max="5" width="19" customWidth="1"/>
    <col min="6" max="12" width="14.44140625" customWidth="1"/>
    <col min="13" max="14" width="9.109375" customWidth="1"/>
    <col min="15" max="15" width="14.33203125" customWidth="1"/>
    <col min="16" max="16" width="20.109375" customWidth="1"/>
    <col min="17" max="17" width="12.44140625" customWidth="1"/>
    <col min="18" max="18" width="14.77734375" customWidth="1"/>
    <col min="19" max="26" width="9.109375" customWidth="1"/>
  </cols>
  <sheetData>
    <row r="1" spans="1:26" ht="12.75" customHeight="1" x14ac:dyDescent="0.3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4">
      <c r="A2" s="3" t="s">
        <v>0</v>
      </c>
      <c r="B2" s="3"/>
      <c r="C2" s="4"/>
      <c r="D2" s="4"/>
      <c r="E2" s="4"/>
      <c r="F2" s="4"/>
      <c r="G2" s="4"/>
      <c r="H2" s="3"/>
      <c r="I2" s="4"/>
      <c r="J2" s="4"/>
      <c r="K2" s="4"/>
      <c r="L2" s="4"/>
      <c r="M2" s="4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6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 x14ac:dyDescent="0.3">
      <c r="A4" s="5" t="s">
        <v>1</v>
      </c>
      <c r="B4" s="2"/>
      <c r="C4" s="2"/>
      <c r="D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 x14ac:dyDescent="0.3">
      <c r="A5" s="6" t="s">
        <v>2</v>
      </c>
      <c r="B5" s="2"/>
      <c r="C5" s="2"/>
      <c r="D5" s="2"/>
      <c r="E5" s="2"/>
      <c r="G5" s="2"/>
      <c r="H5" s="2"/>
      <c r="I5" s="2"/>
      <c r="J5" s="2"/>
      <c r="K5" s="2"/>
      <c r="L5" s="2"/>
      <c r="M5" s="2"/>
      <c r="N5" s="2"/>
      <c r="O5" s="2"/>
      <c r="P5" s="2"/>
      <c r="Q5" s="19" t="s">
        <v>209</v>
      </c>
      <c r="R5" s="19">
        <v>500</v>
      </c>
      <c r="S5" s="2"/>
      <c r="T5" s="2"/>
      <c r="U5" s="2"/>
      <c r="V5" s="2"/>
      <c r="W5" s="2"/>
      <c r="X5" s="2"/>
      <c r="Y5" s="2"/>
      <c r="Z5" s="2"/>
    </row>
    <row r="6" spans="1:26" ht="12.75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19" t="s">
        <v>207</v>
      </c>
      <c r="P7" s="19" t="s">
        <v>208</v>
      </c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customHeight="1" x14ac:dyDescent="0.25">
      <c r="A8" s="7" t="s">
        <v>3</v>
      </c>
      <c r="B8" s="8" t="s">
        <v>4</v>
      </c>
      <c r="C8" s="8" t="s">
        <v>5</v>
      </c>
      <c r="D8" s="8" t="s">
        <v>6</v>
      </c>
      <c r="E8" s="8" t="s">
        <v>7</v>
      </c>
      <c r="F8" s="8" t="s">
        <v>8</v>
      </c>
      <c r="G8" s="8" t="s">
        <v>9</v>
      </c>
      <c r="H8" s="8" t="s">
        <v>10</v>
      </c>
      <c r="I8" s="8" t="s">
        <v>11</v>
      </c>
      <c r="J8" s="8" t="s">
        <v>12</v>
      </c>
      <c r="K8" s="8" t="s">
        <v>13</v>
      </c>
      <c r="L8" s="9" t="s">
        <v>14</v>
      </c>
      <c r="M8" s="2"/>
      <c r="N8" s="2"/>
      <c r="O8" s="2">
        <v>8000</v>
      </c>
      <c r="P8" s="2"/>
      <c r="R8" s="2"/>
      <c r="S8" s="2"/>
      <c r="T8" s="2"/>
      <c r="U8" s="2"/>
      <c r="V8" s="2"/>
      <c r="W8" s="2"/>
      <c r="X8" s="2"/>
      <c r="Y8" s="2"/>
      <c r="Z8" s="2"/>
    </row>
    <row r="9" spans="1:26" ht="17.25" customHeight="1" x14ac:dyDescent="0.25">
      <c r="A9" s="10">
        <v>1</v>
      </c>
      <c r="B9" s="11" t="s">
        <v>15</v>
      </c>
      <c r="C9" s="10" t="s">
        <v>16</v>
      </c>
      <c r="D9" s="10" t="s">
        <v>17</v>
      </c>
      <c r="E9" s="10" t="s">
        <v>18</v>
      </c>
      <c r="F9" s="12">
        <f>VLOOKUP(Table1[[#This Row],[Grade Level]],'Simple Salary Structure'!$B$7:$I$16,2,0)</f>
        <v>483646</v>
      </c>
      <c r="G9" s="12">
        <f>VLOOKUP(Table1[[#This Row],[Grade Level]],'Simple Salary Structure'!$B$7:$I$16,3,0)</f>
        <v>150000</v>
      </c>
      <c r="H9" s="12">
        <f>VLOOKUP(Table1[[#This Row],[Grade Level]],'Simple Salary Structure'!$B$8:$I$16,4,0)</f>
        <v>20000</v>
      </c>
      <c r="I9" s="12">
        <f>VLOOKUP(Table1[[#This Row],[Grade Level]],'Simple Salary Structure'!$B$7:$I$16,5,0)</f>
        <v>48364.600000000006</v>
      </c>
      <c r="J9" s="12">
        <f>VLOOKUP(Table1[[#This Row],[Grade Level]],'Simple Salary Structure'!$B$7:$I$16,6,0)</f>
        <v>5000</v>
      </c>
      <c r="K9" s="12">
        <f>VLOOKUP(Table1[[#This Row],[Grade Level]],'Simple Salary Structure'!$B$7:$I$16,7,0)</f>
        <v>10000</v>
      </c>
      <c r="L9" s="12">
        <f>VLOOKUP(Table1[[#This Row],[Grade Level]],'Simple Salary Structure'!$B$7:$I$16,8,0)</f>
        <v>717012.6</v>
      </c>
      <c r="M9" s="2"/>
      <c r="N9" s="2"/>
      <c r="O9" s="2">
        <v>7500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7.25" customHeight="1" x14ac:dyDescent="0.25">
      <c r="A10" s="10">
        <v>2</v>
      </c>
      <c r="B10" s="11" t="s">
        <v>19</v>
      </c>
      <c r="C10" s="10" t="s">
        <v>20</v>
      </c>
      <c r="D10" s="10" t="s">
        <v>21</v>
      </c>
      <c r="E10" s="10" t="s">
        <v>22</v>
      </c>
      <c r="F10" s="12">
        <f>VLOOKUP(Table1[[#This Row],[Grade Level]],'Simple Salary Structure'!$B$7:$I$16,2,0)</f>
        <v>415159</v>
      </c>
      <c r="G10" s="12">
        <f>VLOOKUP(Table1[[#This Row],[Grade Level]],'Simple Salary Structure'!$B$7:$I$16,3,0)</f>
        <v>150000</v>
      </c>
      <c r="H10" s="12">
        <f>VLOOKUP(Table1[[#This Row],[Grade Level]],'Simple Salary Structure'!$B$8:$I$16,4,0)</f>
        <v>20000</v>
      </c>
      <c r="I10" s="12">
        <f>VLOOKUP(Table1[[#This Row],[Grade Level]],'Simple Salary Structure'!$B$7:$I$16,5,0)</f>
        <v>41515.9</v>
      </c>
      <c r="J10" s="12">
        <f>VLOOKUP(Table1[[#This Row],[Grade Level]],'Simple Salary Structure'!$B$7:$I$16,6,0)</f>
        <v>5000</v>
      </c>
      <c r="K10" s="12">
        <f>VLOOKUP(Table1[[#This Row],[Grade Level]],'Simple Salary Structure'!$B$7:$I$16,7,0)</f>
        <v>10000</v>
      </c>
      <c r="L10" s="12">
        <f>VLOOKUP(Table1[[#This Row],[Grade Level]],'Simple Salary Structure'!$B$7:$I$16,8,0)</f>
        <v>641675.9</v>
      </c>
      <c r="M10" s="2"/>
      <c r="N10" s="2"/>
      <c r="O10" s="2">
        <v>7800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7.25" customHeight="1" x14ac:dyDescent="0.25">
      <c r="A11" s="10">
        <v>3</v>
      </c>
      <c r="B11" s="11" t="s">
        <v>23</v>
      </c>
      <c r="C11" s="10" t="s">
        <v>24</v>
      </c>
      <c r="D11" s="10" t="s">
        <v>25</v>
      </c>
      <c r="E11" s="10" t="s">
        <v>18</v>
      </c>
      <c r="F11" s="12">
        <f>VLOOKUP(Table1[[#This Row],[Grade Level]],'Simple Salary Structure'!$B$7:$I$16,2,0)</f>
        <v>483646</v>
      </c>
      <c r="G11" s="12">
        <f>VLOOKUP(Table1[[#This Row],[Grade Level]],'Simple Salary Structure'!$B$7:$I$16,3,0)</f>
        <v>150000</v>
      </c>
      <c r="H11" s="12">
        <f>VLOOKUP(Table1[[#This Row],[Grade Level]],'Simple Salary Structure'!$B$8:$I$16,4,0)</f>
        <v>20000</v>
      </c>
      <c r="I11" s="12">
        <f>VLOOKUP(Table1[[#This Row],[Grade Level]],'Simple Salary Structure'!$B$7:$I$16,5,0)</f>
        <v>48364.600000000006</v>
      </c>
      <c r="J11" s="12">
        <f>VLOOKUP(Table1[[#This Row],[Grade Level]],'Simple Salary Structure'!$B$7:$I$16,6,0)</f>
        <v>5000</v>
      </c>
      <c r="K11" s="12">
        <f>VLOOKUP(Table1[[#This Row],[Grade Level]],'Simple Salary Structure'!$B$7:$I$16,7,0)</f>
        <v>10000</v>
      </c>
      <c r="L11" s="12">
        <f>VLOOKUP(Table1[[#This Row],[Grade Level]],'Simple Salary Structure'!$B$7:$I$16,8,0)</f>
        <v>717012.6</v>
      </c>
      <c r="M11" s="2"/>
      <c r="N11" s="2"/>
      <c r="O11" s="2">
        <v>6600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7.25" customHeight="1" x14ac:dyDescent="0.25">
      <c r="A12" s="10">
        <v>4</v>
      </c>
      <c r="B12" s="11" t="s">
        <v>26</v>
      </c>
      <c r="C12" s="10" t="s">
        <v>27</v>
      </c>
      <c r="D12" s="10" t="s">
        <v>28</v>
      </c>
      <c r="E12" s="10" t="s">
        <v>29</v>
      </c>
      <c r="F12" s="12">
        <f>VLOOKUP(Table1[[#This Row],[Grade Level]],'Simple Salary Structure'!$B$7:$I$16,2,0)</f>
        <v>685899</v>
      </c>
      <c r="G12" s="12">
        <f>VLOOKUP(Table1[[#This Row],[Grade Level]],'Simple Salary Structure'!$B$7:$I$16,3,0)</f>
        <v>150000</v>
      </c>
      <c r="H12" s="12">
        <f>VLOOKUP(Table1[[#This Row],[Grade Level]],'Simple Salary Structure'!$B$8:$I$16,4,0)</f>
        <v>20000</v>
      </c>
      <c r="I12" s="12">
        <f>VLOOKUP(Table1[[#This Row],[Grade Level]],'Simple Salary Structure'!$B$7:$I$16,5,0)</f>
        <v>68589.900000000009</v>
      </c>
      <c r="J12" s="12">
        <f>VLOOKUP(Table1[[#This Row],[Grade Level]],'Simple Salary Structure'!$B$7:$I$16,6,0)</f>
        <v>5000</v>
      </c>
      <c r="K12" s="12">
        <f>VLOOKUP(Table1[[#This Row],[Grade Level]],'Simple Salary Structure'!$B$7:$I$16,7,0)</f>
        <v>10000</v>
      </c>
      <c r="L12" s="12">
        <f>VLOOKUP(Table1[[#This Row],[Grade Level]],'Simple Salary Structure'!$B$7:$I$16,8,0)</f>
        <v>939493.9</v>
      </c>
      <c r="M12" s="2"/>
      <c r="N12" s="2"/>
      <c r="O12" s="2">
        <v>8500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7.25" customHeight="1" x14ac:dyDescent="0.25">
      <c r="A13" s="10">
        <v>5</v>
      </c>
      <c r="B13" s="11" t="s">
        <v>30</v>
      </c>
      <c r="C13" s="10" t="s">
        <v>31</v>
      </c>
      <c r="D13" s="10" t="s">
        <v>17</v>
      </c>
      <c r="E13" s="10" t="s">
        <v>32</v>
      </c>
      <c r="F13" s="12">
        <f>VLOOKUP(Table1[[#This Row],[Grade Level]],'Simple Salary Structure'!$B$7:$I$16,2,0)</f>
        <v>550208</v>
      </c>
      <c r="G13" s="12">
        <f>VLOOKUP(Table1[[#This Row],[Grade Level]],'Simple Salary Structure'!$B$7:$I$16,3,0)</f>
        <v>150000</v>
      </c>
      <c r="H13" s="12">
        <f>VLOOKUP(Table1[[#This Row],[Grade Level]],'Simple Salary Structure'!$B$8:$I$16,4,0)</f>
        <v>20000</v>
      </c>
      <c r="I13" s="12">
        <f>VLOOKUP(Table1[[#This Row],[Grade Level]],'Simple Salary Structure'!$B$7:$I$16,5,0)</f>
        <v>55020.800000000003</v>
      </c>
      <c r="J13" s="12">
        <f>VLOOKUP(Table1[[#This Row],[Grade Level]],'Simple Salary Structure'!$B$7:$I$16,6,0)</f>
        <v>5000</v>
      </c>
      <c r="K13" s="12">
        <f>VLOOKUP(Table1[[#This Row],[Grade Level]],'Simple Salary Structure'!$B$7:$I$16,7,0)</f>
        <v>10000</v>
      </c>
      <c r="L13" s="12">
        <f>VLOOKUP(Table1[[#This Row],[Grade Level]],'Simple Salary Structure'!$B$7:$I$16,8,0)</f>
        <v>790232.8</v>
      </c>
      <c r="M13" s="2"/>
      <c r="N13" s="2"/>
      <c r="O13" s="2">
        <v>10100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7.25" customHeight="1" x14ac:dyDescent="0.25">
      <c r="A14" s="10">
        <v>6</v>
      </c>
      <c r="B14" s="11" t="s">
        <v>33</v>
      </c>
      <c r="C14" s="10" t="s">
        <v>34</v>
      </c>
      <c r="D14" s="10" t="s">
        <v>21</v>
      </c>
      <c r="E14" s="10" t="s">
        <v>29</v>
      </c>
      <c r="F14" s="12">
        <f>VLOOKUP(Table1[[#This Row],[Grade Level]],'Simple Salary Structure'!$B$7:$I$16,2,0)</f>
        <v>685899</v>
      </c>
      <c r="G14" s="12">
        <f>VLOOKUP(Table1[[#This Row],[Grade Level]],'Simple Salary Structure'!$B$7:$I$16,3,0)</f>
        <v>150000</v>
      </c>
      <c r="H14" s="12">
        <f>VLOOKUP(Table1[[#This Row],[Grade Level]],'Simple Salary Structure'!$B$8:$I$16,4,0)</f>
        <v>20000</v>
      </c>
      <c r="I14" s="12">
        <f>VLOOKUP(Table1[[#This Row],[Grade Level]],'Simple Salary Structure'!$B$7:$I$16,5,0)</f>
        <v>68589.900000000009</v>
      </c>
      <c r="J14" s="12">
        <f>VLOOKUP(Table1[[#This Row],[Grade Level]],'Simple Salary Structure'!$B$7:$I$16,6,0)</f>
        <v>5000</v>
      </c>
      <c r="K14" s="12">
        <f>VLOOKUP(Table1[[#This Row],[Grade Level]],'Simple Salary Structure'!$B$7:$I$16,7,0)</f>
        <v>10000</v>
      </c>
      <c r="L14" s="12">
        <f>VLOOKUP(Table1[[#This Row],[Grade Level]],'Simple Salary Structure'!$B$7:$I$16,8,0)</f>
        <v>939493.9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7.25" customHeight="1" x14ac:dyDescent="0.25">
      <c r="A15" s="10">
        <v>7</v>
      </c>
      <c r="B15" s="11" t="s">
        <v>35</v>
      </c>
      <c r="C15" s="10" t="s">
        <v>36</v>
      </c>
      <c r="D15" s="10" t="s">
        <v>25</v>
      </c>
      <c r="E15" s="10" t="s">
        <v>37</v>
      </c>
      <c r="F15" s="12">
        <f>VLOOKUP(Table1[[#This Row],[Grade Level]],'Simple Salary Structure'!$B$7:$I$16,2,0)</f>
        <v>810490</v>
      </c>
      <c r="G15" s="12">
        <f>VLOOKUP(Table1[[#This Row],[Grade Level]],'Simple Salary Structure'!$B$7:$I$16,3,0)</f>
        <v>150000</v>
      </c>
      <c r="H15" s="12">
        <f>VLOOKUP(Table1[[#This Row],[Grade Level]],'Simple Salary Structure'!$B$8:$I$16,4,0)</f>
        <v>20000</v>
      </c>
      <c r="I15" s="12">
        <f>VLOOKUP(Table1[[#This Row],[Grade Level]],'Simple Salary Structure'!$B$7:$I$16,5,0)</f>
        <v>81049</v>
      </c>
      <c r="J15" s="12">
        <f>VLOOKUP(Table1[[#This Row],[Grade Level]],'Simple Salary Structure'!$B$7:$I$16,6,0)</f>
        <v>5000</v>
      </c>
      <c r="K15" s="12">
        <f>VLOOKUP(Table1[[#This Row],[Grade Level]],'Simple Salary Structure'!$B$7:$I$16,7,0)</f>
        <v>10000</v>
      </c>
      <c r="L15" s="12">
        <f>VLOOKUP(Table1[[#This Row],[Grade Level]],'Simple Salary Structure'!$B$7:$I$16,8,0)</f>
        <v>1076545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7.25" customHeight="1" x14ac:dyDescent="0.25">
      <c r="A16" s="10">
        <v>8</v>
      </c>
      <c r="B16" s="11" t="s">
        <v>38</v>
      </c>
      <c r="C16" s="10" t="s">
        <v>39</v>
      </c>
      <c r="D16" s="10" t="s">
        <v>25</v>
      </c>
      <c r="E16" s="10" t="s">
        <v>40</v>
      </c>
      <c r="F16" s="12">
        <f>VLOOKUP(Table1[[#This Row],[Grade Level]],'Simple Salary Structure'!$B$7:$I$16,2,0)</f>
        <v>918468</v>
      </c>
      <c r="G16" s="12">
        <f>VLOOKUP(Table1[[#This Row],[Grade Level]],'Simple Salary Structure'!$B$7:$I$16,3,0)</f>
        <v>150000</v>
      </c>
      <c r="H16" s="12">
        <f>VLOOKUP(Table1[[#This Row],[Grade Level]],'Simple Salary Structure'!$B$8:$I$16,4,0)</f>
        <v>20000</v>
      </c>
      <c r="I16" s="12">
        <f>VLOOKUP(Table1[[#This Row],[Grade Level]],'Simple Salary Structure'!$B$7:$I$16,5,0)</f>
        <v>91846.8</v>
      </c>
      <c r="J16" s="12">
        <f>VLOOKUP(Table1[[#This Row],[Grade Level]],'Simple Salary Structure'!$B$7:$I$16,6,0)</f>
        <v>5000</v>
      </c>
      <c r="K16" s="12">
        <f>VLOOKUP(Table1[[#This Row],[Grade Level]],'Simple Salary Structure'!$B$7:$I$16,7,0)</f>
        <v>10000</v>
      </c>
      <c r="L16" s="12">
        <f>VLOOKUP(Table1[[#This Row],[Grade Level]],'Simple Salary Structure'!$B$7:$I$16,8,0)</f>
        <v>1195321.8</v>
      </c>
      <c r="M16" s="2"/>
      <c r="N16" s="2"/>
      <c r="O16" s="2"/>
      <c r="P16" s="2" t="s">
        <v>203</v>
      </c>
      <c r="Q16" s="2" t="s">
        <v>210</v>
      </c>
      <c r="R16" s="2"/>
      <c r="S16" s="2"/>
      <c r="T16" s="2"/>
      <c r="U16" s="2"/>
      <c r="V16" s="2"/>
      <c r="W16" s="2"/>
      <c r="X16" s="2"/>
      <c r="Y16" s="2"/>
      <c r="Z16" s="2"/>
    </row>
    <row r="17" spans="1:26" ht="17.25" customHeight="1" x14ac:dyDescent="0.25">
      <c r="A17" s="10">
        <v>9</v>
      </c>
      <c r="B17" s="11" t="s">
        <v>41</v>
      </c>
      <c r="C17" s="10" t="s">
        <v>42</v>
      </c>
      <c r="D17" s="10" t="s">
        <v>25</v>
      </c>
      <c r="E17" s="10" t="s">
        <v>43</v>
      </c>
      <c r="F17" s="12">
        <f>VLOOKUP(Table1[[#This Row],[Grade Level]],'Simple Salary Structure'!$B$7:$I$16,2,0)</f>
        <v>997605</v>
      </c>
      <c r="G17" s="12">
        <f>VLOOKUP(Table1[[#This Row],[Grade Level]],'Simple Salary Structure'!$B$7:$I$16,3,0)</f>
        <v>150000</v>
      </c>
      <c r="H17" s="12">
        <f>VLOOKUP(Table1[[#This Row],[Grade Level]],'Simple Salary Structure'!$B$8:$I$16,4,0)</f>
        <v>20000</v>
      </c>
      <c r="I17" s="12">
        <f>VLOOKUP(Table1[[#This Row],[Grade Level]],'Simple Salary Structure'!$B$7:$I$16,5,0)</f>
        <v>99760.5</v>
      </c>
      <c r="J17" s="12">
        <f>VLOOKUP(Table1[[#This Row],[Grade Level]],'Simple Salary Structure'!$B$7:$I$16,6,0)</f>
        <v>5000</v>
      </c>
      <c r="K17" s="12">
        <f>VLOOKUP(Table1[[#This Row],[Grade Level]],'Simple Salary Structure'!$B$7:$I$16,7,0)</f>
        <v>10000</v>
      </c>
      <c r="L17" s="12">
        <f>VLOOKUP(Table1[[#This Row],[Grade Level]],'Simple Salary Structure'!$B$7:$I$16,8,0)</f>
        <v>1282373.5</v>
      </c>
      <c r="M17" s="2"/>
      <c r="N17" s="2"/>
      <c r="O17" s="2"/>
      <c r="P17" s="2" t="s">
        <v>204</v>
      </c>
      <c r="Q17" s="2" t="s">
        <v>211</v>
      </c>
      <c r="R17" s="2"/>
      <c r="S17" s="2"/>
      <c r="T17" s="2"/>
      <c r="U17" s="2"/>
      <c r="V17" s="2"/>
      <c r="W17" s="2"/>
      <c r="X17" s="2"/>
      <c r="Y17" s="2"/>
      <c r="Z17" s="2"/>
    </row>
    <row r="18" spans="1:26" ht="17.25" customHeight="1" x14ac:dyDescent="0.25">
      <c r="A18" s="10">
        <v>10</v>
      </c>
      <c r="B18" s="11" t="s">
        <v>44</v>
      </c>
      <c r="C18" s="10" t="s">
        <v>45</v>
      </c>
      <c r="D18" s="10" t="s">
        <v>17</v>
      </c>
      <c r="E18" s="10" t="s">
        <v>37</v>
      </c>
      <c r="F18" s="12">
        <f>VLOOKUP(Table1[[#This Row],[Grade Level]],'Simple Salary Structure'!$B$7:$I$16,2,0)</f>
        <v>810490</v>
      </c>
      <c r="G18" s="12">
        <f>VLOOKUP(Table1[[#This Row],[Grade Level]],'Simple Salary Structure'!$B$7:$I$16,3,0)</f>
        <v>150000</v>
      </c>
      <c r="H18" s="12">
        <f>VLOOKUP(Table1[[#This Row],[Grade Level]],'Simple Salary Structure'!$B$8:$I$16,4,0)</f>
        <v>20000</v>
      </c>
      <c r="I18" s="12">
        <f>VLOOKUP(Table1[[#This Row],[Grade Level]],'Simple Salary Structure'!$B$7:$I$16,5,0)</f>
        <v>81049</v>
      </c>
      <c r="J18" s="12">
        <f>VLOOKUP(Table1[[#This Row],[Grade Level]],'Simple Salary Structure'!$B$7:$I$16,6,0)</f>
        <v>5000</v>
      </c>
      <c r="K18" s="12">
        <f>VLOOKUP(Table1[[#This Row],[Grade Level]],'Simple Salary Structure'!$B$7:$I$16,7,0)</f>
        <v>10000</v>
      </c>
      <c r="L18" s="12">
        <f>VLOOKUP(Table1[[#This Row],[Grade Level]],'Simple Salary Structure'!$B$7:$I$16,8,0)</f>
        <v>1076545</v>
      </c>
      <c r="M18" s="2"/>
      <c r="N18" s="2"/>
      <c r="O18" s="2"/>
      <c r="P18" s="2" t="s">
        <v>205</v>
      </c>
      <c r="Q18" s="2" t="s">
        <v>212</v>
      </c>
      <c r="R18" s="2"/>
      <c r="S18" s="2"/>
      <c r="T18" s="2"/>
      <c r="U18" s="2"/>
      <c r="V18" s="2"/>
      <c r="W18" s="2"/>
      <c r="X18" s="2"/>
      <c r="Y18" s="2"/>
      <c r="Z18" s="2"/>
    </row>
    <row r="19" spans="1:26" ht="17.25" customHeight="1" x14ac:dyDescent="0.25">
      <c r="A19" s="10">
        <v>11</v>
      </c>
      <c r="B19" s="11" t="s">
        <v>46</v>
      </c>
      <c r="C19" s="10" t="s">
        <v>47</v>
      </c>
      <c r="D19" s="10" t="s">
        <v>28</v>
      </c>
      <c r="E19" s="10" t="s">
        <v>40</v>
      </c>
      <c r="F19" s="12">
        <f>VLOOKUP(Table1[[#This Row],[Grade Level]],'Simple Salary Structure'!$B$7:$I$16,2,0)</f>
        <v>918468</v>
      </c>
      <c r="G19" s="12">
        <f>VLOOKUP(Table1[[#This Row],[Grade Level]],'Simple Salary Structure'!$B$7:$I$16,3,0)</f>
        <v>150000</v>
      </c>
      <c r="H19" s="12">
        <f>VLOOKUP(Table1[[#This Row],[Grade Level]],'Simple Salary Structure'!$B$8:$I$16,4,0)</f>
        <v>20000</v>
      </c>
      <c r="I19" s="12">
        <f>VLOOKUP(Table1[[#This Row],[Grade Level]],'Simple Salary Structure'!$B$7:$I$16,5,0)</f>
        <v>91846.8</v>
      </c>
      <c r="J19" s="12">
        <f>VLOOKUP(Table1[[#This Row],[Grade Level]],'Simple Salary Structure'!$B$7:$I$16,6,0)</f>
        <v>5000</v>
      </c>
      <c r="K19" s="12">
        <f>VLOOKUP(Table1[[#This Row],[Grade Level]],'Simple Salary Structure'!$B$7:$I$16,7,0)</f>
        <v>10000</v>
      </c>
      <c r="L19" s="12">
        <f>VLOOKUP(Table1[[#This Row],[Grade Level]],'Simple Salary Structure'!$B$7:$I$16,8,0)</f>
        <v>1195321.8</v>
      </c>
      <c r="M19" s="2"/>
      <c r="N19" s="2"/>
      <c r="O19" s="2"/>
      <c r="P19" s="2" t="s">
        <v>206</v>
      </c>
      <c r="Q19" s="2" t="s">
        <v>213</v>
      </c>
      <c r="R19" s="2"/>
      <c r="S19" s="2"/>
      <c r="T19" s="2"/>
      <c r="U19" s="2"/>
      <c r="V19" s="2"/>
      <c r="W19" s="2"/>
      <c r="X19" s="2"/>
      <c r="Y19" s="2"/>
      <c r="Z19" s="2"/>
    </row>
    <row r="20" spans="1:26" ht="17.25" customHeight="1" x14ac:dyDescent="0.25">
      <c r="A20" s="10">
        <v>12</v>
      </c>
      <c r="B20" s="11" t="s">
        <v>48</v>
      </c>
      <c r="C20" s="10" t="s">
        <v>49</v>
      </c>
      <c r="D20" s="10" t="s">
        <v>25</v>
      </c>
      <c r="E20" s="10" t="s">
        <v>40</v>
      </c>
      <c r="F20" s="12">
        <f>VLOOKUP(Table1[[#This Row],[Grade Level]],'Simple Salary Structure'!$B$7:$I$16,2,0)</f>
        <v>918468</v>
      </c>
      <c r="G20" s="12">
        <f>VLOOKUP(Table1[[#This Row],[Grade Level]],'Simple Salary Structure'!$B$7:$I$16,3,0)</f>
        <v>150000</v>
      </c>
      <c r="H20" s="12">
        <f>VLOOKUP(Table1[[#This Row],[Grade Level]],'Simple Salary Structure'!$B$8:$I$16,4,0)</f>
        <v>20000</v>
      </c>
      <c r="I20" s="12">
        <f>VLOOKUP(Table1[[#This Row],[Grade Level]],'Simple Salary Structure'!$B$7:$I$16,5,0)</f>
        <v>91846.8</v>
      </c>
      <c r="J20" s="12">
        <f>VLOOKUP(Table1[[#This Row],[Grade Level]],'Simple Salary Structure'!$B$7:$I$16,6,0)</f>
        <v>5000</v>
      </c>
      <c r="K20" s="12">
        <f>VLOOKUP(Table1[[#This Row],[Grade Level]],'Simple Salary Structure'!$B$7:$I$16,7,0)</f>
        <v>10000</v>
      </c>
      <c r="L20" s="12">
        <f>VLOOKUP(Table1[[#This Row],[Grade Level]],'Simple Salary Structure'!$B$7:$I$16,8,0)</f>
        <v>1195321.8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7.25" customHeight="1" x14ac:dyDescent="0.25">
      <c r="A21" s="10">
        <v>13</v>
      </c>
      <c r="B21" s="11" t="s">
        <v>50</v>
      </c>
      <c r="C21" s="10" t="s">
        <v>51</v>
      </c>
      <c r="D21" s="10" t="s">
        <v>28</v>
      </c>
      <c r="E21" s="10" t="s">
        <v>43</v>
      </c>
      <c r="F21" s="12">
        <f>VLOOKUP(Table1[[#This Row],[Grade Level]],'Simple Salary Structure'!$B$7:$I$16,2,0)</f>
        <v>997605</v>
      </c>
      <c r="G21" s="12">
        <f>VLOOKUP(Table1[[#This Row],[Grade Level]],'Simple Salary Structure'!$B$7:$I$16,3,0)</f>
        <v>150000</v>
      </c>
      <c r="H21" s="12">
        <f>VLOOKUP(Table1[[#This Row],[Grade Level]],'Simple Salary Structure'!$B$8:$I$16,4,0)</f>
        <v>20000</v>
      </c>
      <c r="I21" s="12">
        <f>VLOOKUP(Table1[[#This Row],[Grade Level]],'Simple Salary Structure'!$B$7:$I$16,5,0)</f>
        <v>99760.5</v>
      </c>
      <c r="J21" s="12">
        <f>VLOOKUP(Table1[[#This Row],[Grade Level]],'Simple Salary Structure'!$B$7:$I$16,6,0)</f>
        <v>5000</v>
      </c>
      <c r="K21" s="12">
        <f>VLOOKUP(Table1[[#This Row],[Grade Level]],'Simple Salary Structure'!$B$7:$I$16,7,0)</f>
        <v>10000</v>
      </c>
      <c r="L21" s="12">
        <f>VLOOKUP(Table1[[#This Row],[Grade Level]],'Simple Salary Structure'!$B$7:$I$16,8,0)</f>
        <v>1282373.5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7.25" customHeight="1" x14ac:dyDescent="0.25">
      <c r="A22" s="10">
        <v>14</v>
      </c>
      <c r="B22" s="11" t="s">
        <v>52</v>
      </c>
      <c r="C22" s="10" t="s">
        <v>53</v>
      </c>
      <c r="D22" s="10" t="s">
        <v>28</v>
      </c>
      <c r="E22" s="10" t="s">
        <v>37</v>
      </c>
      <c r="F22" s="12">
        <f>VLOOKUP(Table1[[#This Row],[Grade Level]],'Simple Salary Structure'!$B$7:$I$16,2,0)</f>
        <v>810490</v>
      </c>
      <c r="G22" s="12">
        <f>VLOOKUP(Table1[[#This Row],[Grade Level]],'Simple Salary Structure'!$B$7:$I$16,3,0)</f>
        <v>150000</v>
      </c>
      <c r="H22" s="12">
        <f>VLOOKUP(Table1[[#This Row],[Grade Level]],'Simple Salary Structure'!$B$8:$I$16,4,0)</f>
        <v>20000</v>
      </c>
      <c r="I22" s="12">
        <f>VLOOKUP(Table1[[#This Row],[Grade Level]],'Simple Salary Structure'!$B$7:$I$16,5,0)</f>
        <v>81049</v>
      </c>
      <c r="J22" s="12">
        <f>VLOOKUP(Table1[[#This Row],[Grade Level]],'Simple Salary Structure'!$B$7:$I$16,6,0)</f>
        <v>5000</v>
      </c>
      <c r="K22" s="12">
        <f>VLOOKUP(Table1[[#This Row],[Grade Level]],'Simple Salary Structure'!$B$7:$I$16,7,0)</f>
        <v>10000</v>
      </c>
      <c r="L22" s="12">
        <f>VLOOKUP(Table1[[#This Row],[Grade Level]],'Simple Salary Structure'!$B$7:$I$16,8,0)</f>
        <v>1076545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7.25" customHeight="1" x14ac:dyDescent="0.25">
      <c r="A23" s="10">
        <v>15</v>
      </c>
      <c r="B23" s="11" t="s">
        <v>54</v>
      </c>
      <c r="C23" s="10" t="s">
        <v>55</v>
      </c>
      <c r="D23" s="10" t="s">
        <v>28</v>
      </c>
      <c r="E23" s="10" t="s">
        <v>40</v>
      </c>
      <c r="F23" s="12">
        <f>VLOOKUP(Table1[[#This Row],[Grade Level]],'Simple Salary Structure'!$B$7:$I$16,2,0)</f>
        <v>918468</v>
      </c>
      <c r="G23" s="12">
        <f>VLOOKUP(Table1[[#This Row],[Grade Level]],'Simple Salary Structure'!$B$7:$I$16,3,0)</f>
        <v>150000</v>
      </c>
      <c r="H23" s="12">
        <f>VLOOKUP(Table1[[#This Row],[Grade Level]],'Simple Salary Structure'!$B$8:$I$16,4,0)</f>
        <v>20000</v>
      </c>
      <c r="I23" s="12">
        <f>VLOOKUP(Table1[[#This Row],[Grade Level]],'Simple Salary Structure'!$B$7:$I$16,5,0)</f>
        <v>91846.8</v>
      </c>
      <c r="J23" s="12">
        <f>VLOOKUP(Table1[[#This Row],[Grade Level]],'Simple Salary Structure'!$B$7:$I$16,6,0)</f>
        <v>5000</v>
      </c>
      <c r="K23" s="12">
        <f>VLOOKUP(Table1[[#This Row],[Grade Level]],'Simple Salary Structure'!$B$7:$I$16,7,0)</f>
        <v>10000</v>
      </c>
      <c r="L23" s="12">
        <f>VLOOKUP(Table1[[#This Row],[Grade Level]],'Simple Salary Structure'!$B$7:$I$16,8,0)</f>
        <v>1195321.8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7.25" customHeight="1" x14ac:dyDescent="0.25">
      <c r="A24" s="10">
        <v>16</v>
      </c>
      <c r="B24" s="11" t="s">
        <v>56</v>
      </c>
      <c r="C24" s="10" t="s">
        <v>57</v>
      </c>
      <c r="D24" s="10" t="s">
        <v>25</v>
      </c>
      <c r="E24" s="10" t="s">
        <v>22</v>
      </c>
      <c r="F24" s="12">
        <f>VLOOKUP(Table1[[#This Row],[Grade Level]],'Simple Salary Structure'!$B$7:$I$16,2,0)</f>
        <v>415159</v>
      </c>
      <c r="G24" s="12">
        <f>VLOOKUP(Table1[[#This Row],[Grade Level]],'Simple Salary Structure'!$B$7:$I$16,3,0)</f>
        <v>150000</v>
      </c>
      <c r="H24" s="12">
        <f>VLOOKUP(Table1[[#This Row],[Grade Level]],'Simple Salary Structure'!$B$8:$I$16,4,0)</f>
        <v>20000</v>
      </c>
      <c r="I24" s="12">
        <f>VLOOKUP(Table1[[#This Row],[Grade Level]],'Simple Salary Structure'!$B$7:$I$16,5,0)</f>
        <v>41515.9</v>
      </c>
      <c r="J24" s="12">
        <f>VLOOKUP(Table1[[#This Row],[Grade Level]],'Simple Salary Structure'!$B$7:$I$16,6,0)</f>
        <v>5000</v>
      </c>
      <c r="K24" s="12">
        <f>VLOOKUP(Table1[[#This Row],[Grade Level]],'Simple Salary Structure'!$B$7:$I$16,7,0)</f>
        <v>10000</v>
      </c>
      <c r="L24" s="12">
        <f>VLOOKUP(Table1[[#This Row],[Grade Level]],'Simple Salary Structure'!$B$7:$I$16,8,0)</f>
        <v>641675.9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7.25" customHeight="1" x14ac:dyDescent="0.25">
      <c r="A25" s="10">
        <v>17</v>
      </c>
      <c r="B25" s="11" t="s">
        <v>58</v>
      </c>
      <c r="C25" s="10" t="s">
        <v>59</v>
      </c>
      <c r="D25" s="10" t="s">
        <v>28</v>
      </c>
      <c r="E25" s="10" t="s">
        <v>18</v>
      </c>
      <c r="F25" s="12">
        <f>VLOOKUP(Table1[[#This Row],[Grade Level]],'Simple Salary Structure'!$B$7:$I$16,2,0)</f>
        <v>483646</v>
      </c>
      <c r="G25" s="12">
        <f>VLOOKUP(Table1[[#This Row],[Grade Level]],'Simple Salary Structure'!$B$7:$I$16,3,0)</f>
        <v>150000</v>
      </c>
      <c r="H25" s="12">
        <f>VLOOKUP(Table1[[#This Row],[Grade Level]],'Simple Salary Structure'!$B$8:$I$16,4,0)</f>
        <v>20000</v>
      </c>
      <c r="I25" s="12">
        <f>VLOOKUP(Table1[[#This Row],[Grade Level]],'Simple Salary Structure'!$B$7:$I$16,5,0)</f>
        <v>48364.600000000006</v>
      </c>
      <c r="J25" s="12">
        <f>VLOOKUP(Table1[[#This Row],[Grade Level]],'Simple Salary Structure'!$B$7:$I$16,6,0)</f>
        <v>5000</v>
      </c>
      <c r="K25" s="12">
        <f>VLOOKUP(Table1[[#This Row],[Grade Level]],'Simple Salary Structure'!$B$7:$I$16,7,0)</f>
        <v>10000</v>
      </c>
      <c r="L25" s="12">
        <f>VLOOKUP(Table1[[#This Row],[Grade Level]],'Simple Salary Structure'!$B$7:$I$16,8,0)</f>
        <v>717012.6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7.25" customHeight="1" x14ac:dyDescent="0.25">
      <c r="A26" s="10">
        <v>18</v>
      </c>
      <c r="B26" s="11" t="s">
        <v>60</v>
      </c>
      <c r="C26" s="10" t="s">
        <v>61</v>
      </c>
      <c r="D26" s="10" t="s">
        <v>21</v>
      </c>
      <c r="E26" s="10" t="s">
        <v>62</v>
      </c>
      <c r="F26" s="12">
        <f>VLOOKUP(Table1[[#This Row],[Grade Level]],'Simple Salary Structure'!$B$7:$I$16,2,0)</f>
        <v>495507</v>
      </c>
      <c r="G26" s="12">
        <f>VLOOKUP(Table1[[#This Row],[Grade Level]],'Simple Salary Structure'!$B$7:$I$16,3,0)</f>
        <v>150000</v>
      </c>
      <c r="H26" s="12">
        <f>VLOOKUP(Table1[[#This Row],[Grade Level]],'Simple Salary Structure'!$B$8:$I$16,4,0)</f>
        <v>20000</v>
      </c>
      <c r="I26" s="12">
        <f>VLOOKUP(Table1[[#This Row],[Grade Level]],'Simple Salary Structure'!$B$7:$I$16,5,0)</f>
        <v>49550.700000000004</v>
      </c>
      <c r="J26" s="12">
        <f>VLOOKUP(Table1[[#This Row],[Grade Level]],'Simple Salary Structure'!$B$7:$I$16,6,0)</f>
        <v>5000</v>
      </c>
      <c r="K26" s="12">
        <f>VLOOKUP(Table1[[#This Row],[Grade Level]],'Simple Salary Structure'!$B$7:$I$16,7,0)</f>
        <v>10000</v>
      </c>
      <c r="L26" s="12">
        <f>VLOOKUP(Table1[[#This Row],[Grade Level]],'Simple Salary Structure'!$B$7:$I$16,8,0)</f>
        <v>730060.7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7.25" customHeight="1" x14ac:dyDescent="0.25">
      <c r="A27" s="10">
        <v>19</v>
      </c>
      <c r="B27" s="11" t="s">
        <v>63</v>
      </c>
      <c r="C27" s="10" t="s">
        <v>64</v>
      </c>
      <c r="D27" s="10" t="s">
        <v>21</v>
      </c>
      <c r="E27" s="10" t="s">
        <v>32</v>
      </c>
      <c r="F27" s="12">
        <f>VLOOKUP(Table1[[#This Row],[Grade Level]],'Simple Salary Structure'!$B$7:$I$16,2,0)</f>
        <v>550208</v>
      </c>
      <c r="G27" s="12">
        <f>VLOOKUP(Table1[[#This Row],[Grade Level]],'Simple Salary Structure'!$B$7:$I$16,3,0)</f>
        <v>150000</v>
      </c>
      <c r="H27" s="12">
        <f>VLOOKUP(Table1[[#This Row],[Grade Level]],'Simple Salary Structure'!$B$8:$I$16,4,0)</f>
        <v>20000</v>
      </c>
      <c r="I27" s="12">
        <f>VLOOKUP(Table1[[#This Row],[Grade Level]],'Simple Salary Structure'!$B$7:$I$16,5,0)</f>
        <v>55020.800000000003</v>
      </c>
      <c r="J27" s="12">
        <f>VLOOKUP(Table1[[#This Row],[Grade Level]],'Simple Salary Structure'!$B$7:$I$16,6,0)</f>
        <v>5000</v>
      </c>
      <c r="K27" s="12">
        <f>VLOOKUP(Table1[[#This Row],[Grade Level]],'Simple Salary Structure'!$B$7:$I$16,7,0)</f>
        <v>10000</v>
      </c>
      <c r="L27" s="12">
        <f>VLOOKUP(Table1[[#This Row],[Grade Level]],'Simple Salary Structure'!$B$7:$I$16,8,0)</f>
        <v>790232.8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7.25" customHeight="1" x14ac:dyDescent="0.25">
      <c r="A28" s="10">
        <v>20</v>
      </c>
      <c r="B28" s="11" t="s">
        <v>65</v>
      </c>
      <c r="C28" s="10" t="s">
        <v>66</v>
      </c>
      <c r="D28" s="10" t="s">
        <v>17</v>
      </c>
      <c r="E28" s="10" t="s">
        <v>67</v>
      </c>
      <c r="F28" s="12">
        <f>VLOOKUP(Table1[[#This Row],[Grade Level]],'Simple Salary Structure'!$B$7:$I$16,2,0)</f>
        <v>310648</v>
      </c>
      <c r="G28" s="12">
        <f>VLOOKUP(Table1[[#This Row],[Grade Level]],'Simple Salary Structure'!$B$7:$I$16,3,0)</f>
        <v>150000</v>
      </c>
      <c r="H28" s="12">
        <f>VLOOKUP(Table1[[#This Row],[Grade Level]],'Simple Salary Structure'!$B$8:$I$16,4,0)</f>
        <v>20000</v>
      </c>
      <c r="I28" s="12">
        <f>VLOOKUP(Table1[[#This Row],[Grade Level]],'Simple Salary Structure'!$B$7:$I$16,5,0)</f>
        <v>31064.800000000003</v>
      </c>
      <c r="J28" s="12">
        <f>VLOOKUP(Table1[[#This Row],[Grade Level]],'Simple Salary Structure'!$B$7:$I$16,6,0)</f>
        <v>5000</v>
      </c>
      <c r="K28" s="12">
        <f>VLOOKUP(Table1[[#This Row],[Grade Level]],'Simple Salary Structure'!$B$7:$I$16,7,0)</f>
        <v>10000</v>
      </c>
      <c r="L28" s="12">
        <f>VLOOKUP(Table1[[#This Row],[Grade Level]],'Simple Salary Structure'!$B$7:$I$16,8,0)</f>
        <v>526712.80000000005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7.25" customHeight="1" x14ac:dyDescent="0.25">
      <c r="A29" s="10">
        <v>21</v>
      </c>
      <c r="B29" s="11" t="s">
        <v>68</v>
      </c>
      <c r="C29" s="10" t="s">
        <v>69</v>
      </c>
      <c r="D29" s="10" t="s">
        <v>21</v>
      </c>
      <c r="E29" s="10" t="s">
        <v>22</v>
      </c>
      <c r="F29" s="12">
        <f>VLOOKUP(Table1[[#This Row],[Grade Level]],'Simple Salary Structure'!$B$7:$I$16,2,0)</f>
        <v>415159</v>
      </c>
      <c r="G29" s="12">
        <f>VLOOKUP(Table1[[#This Row],[Grade Level]],'Simple Salary Structure'!$B$7:$I$16,3,0)</f>
        <v>150000</v>
      </c>
      <c r="H29" s="12">
        <f>VLOOKUP(Table1[[#This Row],[Grade Level]],'Simple Salary Structure'!$B$8:$I$16,4,0)</f>
        <v>20000</v>
      </c>
      <c r="I29" s="12">
        <f>VLOOKUP(Table1[[#This Row],[Grade Level]],'Simple Salary Structure'!$B$7:$I$16,5,0)</f>
        <v>41515.9</v>
      </c>
      <c r="J29" s="12">
        <f>VLOOKUP(Table1[[#This Row],[Grade Level]],'Simple Salary Structure'!$B$7:$I$16,6,0)</f>
        <v>5000</v>
      </c>
      <c r="K29" s="12">
        <f>VLOOKUP(Table1[[#This Row],[Grade Level]],'Simple Salary Structure'!$B$7:$I$16,7,0)</f>
        <v>10000</v>
      </c>
      <c r="L29" s="12">
        <f>VLOOKUP(Table1[[#This Row],[Grade Level]],'Simple Salary Structure'!$B$7:$I$16,8,0)</f>
        <v>641675.9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7.25" customHeight="1" x14ac:dyDescent="0.25">
      <c r="A30" s="10">
        <v>22</v>
      </c>
      <c r="B30" s="11" t="s">
        <v>70</v>
      </c>
      <c r="C30" s="10" t="s">
        <v>71</v>
      </c>
      <c r="D30" s="10" t="s">
        <v>25</v>
      </c>
      <c r="E30" s="10" t="s">
        <v>18</v>
      </c>
      <c r="F30" s="12">
        <f>VLOOKUP(Table1[[#This Row],[Grade Level]],'Simple Salary Structure'!$B$7:$I$16,2,0)</f>
        <v>483646</v>
      </c>
      <c r="G30" s="12">
        <f>VLOOKUP(Table1[[#This Row],[Grade Level]],'Simple Salary Structure'!$B$7:$I$16,3,0)</f>
        <v>150000</v>
      </c>
      <c r="H30" s="12">
        <f>VLOOKUP(Table1[[#This Row],[Grade Level]],'Simple Salary Structure'!$B$8:$I$16,4,0)</f>
        <v>20000</v>
      </c>
      <c r="I30" s="12">
        <f>VLOOKUP(Table1[[#This Row],[Grade Level]],'Simple Salary Structure'!$B$7:$I$16,5,0)</f>
        <v>48364.600000000006</v>
      </c>
      <c r="J30" s="12">
        <f>VLOOKUP(Table1[[#This Row],[Grade Level]],'Simple Salary Structure'!$B$7:$I$16,6,0)</f>
        <v>5000</v>
      </c>
      <c r="K30" s="12">
        <f>VLOOKUP(Table1[[#This Row],[Grade Level]],'Simple Salary Structure'!$B$7:$I$16,7,0)</f>
        <v>10000</v>
      </c>
      <c r="L30" s="12">
        <f>VLOOKUP(Table1[[#This Row],[Grade Level]],'Simple Salary Structure'!$B$7:$I$16,8,0)</f>
        <v>717012.6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7.25" customHeight="1" x14ac:dyDescent="0.25">
      <c r="A31" s="10">
        <v>23</v>
      </c>
      <c r="B31" s="11" t="s">
        <v>72</v>
      </c>
      <c r="C31" s="10" t="s">
        <v>73</v>
      </c>
      <c r="D31" s="10" t="s">
        <v>28</v>
      </c>
      <c r="E31" s="10" t="s">
        <v>62</v>
      </c>
      <c r="F31" s="12">
        <f>VLOOKUP(Table1[[#This Row],[Grade Level]],'Simple Salary Structure'!$B$7:$I$16,2,0)</f>
        <v>495507</v>
      </c>
      <c r="G31" s="12">
        <f>VLOOKUP(Table1[[#This Row],[Grade Level]],'Simple Salary Structure'!$B$7:$I$16,3,0)</f>
        <v>150000</v>
      </c>
      <c r="H31" s="12">
        <f>VLOOKUP(Table1[[#This Row],[Grade Level]],'Simple Salary Structure'!$B$8:$I$16,4,0)</f>
        <v>20000</v>
      </c>
      <c r="I31" s="12">
        <f>VLOOKUP(Table1[[#This Row],[Grade Level]],'Simple Salary Structure'!$B$7:$I$16,5,0)</f>
        <v>49550.700000000004</v>
      </c>
      <c r="J31" s="12">
        <f>VLOOKUP(Table1[[#This Row],[Grade Level]],'Simple Salary Structure'!$B$7:$I$16,6,0)</f>
        <v>5000</v>
      </c>
      <c r="K31" s="12">
        <f>VLOOKUP(Table1[[#This Row],[Grade Level]],'Simple Salary Structure'!$B$7:$I$16,7,0)</f>
        <v>10000</v>
      </c>
      <c r="L31" s="12">
        <f>VLOOKUP(Table1[[#This Row],[Grade Level]],'Simple Salary Structure'!$B$7:$I$16,8,0)</f>
        <v>730060.7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7.25" customHeight="1" x14ac:dyDescent="0.25">
      <c r="A32" s="10">
        <v>24</v>
      </c>
      <c r="B32" s="11" t="s">
        <v>74</v>
      </c>
      <c r="C32" s="10" t="s">
        <v>75</v>
      </c>
      <c r="D32" s="10" t="s">
        <v>28</v>
      </c>
      <c r="E32" s="10" t="s">
        <v>32</v>
      </c>
      <c r="F32" s="12">
        <f>VLOOKUP(Table1[[#This Row],[Grade Level]],'Simple Salary Structure'!$B$7:$I$16,2,0)</f>
        <v>550208</v>
      </c>
      <c r="G32" s="12">
        <f>VLOOKUP(Table1[[#This Row],[Grade Level]],'Simple Salary Structure'!$B$7:$I$16,3,0)</f>
        <v>150000</v>
      </c>
      <c r="H32" s="12">
        <f>VLOOKUP(Table1[[#This Row],[Grade Level]],'Simple Salary Structure'!$B$8:$I$16,4,0)</f>
        <v>20000</v>
      </c>
      <c r="I32" s="12">
        <f>VLOOKUP(Table1[[#This Row],[Grade Level]],'Simple Salary Structure'!$B$7:$I$16,5,0)</f>
        <v>55020.800000000003</v>
      </c>
      <c r="J32" s="12">
        <f>VLOOKUP(Table1[[#This Row],[Grade Level]],'Simple Salary Structure'!$B$7:$I$16,6,0)</f>
        <v>5000</v>
      </c>
      <c r="K32" s="12">
        <f>VLOOKUP(Table1[[#This Row],[Grade Level]],'Simple Salary Structure'!$B$7:$I$16,7,0)</f>
        <v>10000</v>
      </c>
      <c r="L32" s="12">
        <f>VLOOKUP(Table1[[#This Row],[Grade Level]],'Simple Salary Structure'!$B$7:$I$16,8,0)</f>
        <v>790232.8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7.25" customHeight="1" x14ac:dyDescent="0.25">
      <c r="A33" s="10">
        <v>25</v>
      </c>
      <c r="B33" s="11" t="s">
        <v>76</v>
      </c>
      <c r="C33" s="10" t="s">
        <v>77</v>
      </c>
      <c r="D33" s="10" t="s">
        <v>28</v>
      </c>
      <c r="E33" s="10" t="s">
        <v>29</v>
      </c>
      <c r="F33" s="12">
        <f>VLOOKUP(Table1[[#This Row],[Grade Level]],'Simple Salary Structure'!$B$7:$I$16,2,0)</f>
        <v>685899</v>
      </c>
      <c r="G33" s="12">
        <f>VLOOKUP(Table1[[#This Row],[Grade Level]],'Simple Salary Structure'!$B$7:$I$16,3,0)</f>
        <v>150000</v>
      </c>
      <c r="H33" s="12">
        <f>VLOOKUP(Table1[[#This Row],[Grade Level]],'Simple Salary Structure'!$B$8:$I$16,4,0)</f>
        <v>20000</v>
      </c>
      <c r="I33" s="12">
        <f>VLOOKUP(Table1[[#This Row],[Grade Level]],'Simple Salary Structure'!$B$7:$I$16,5,0)</f>
        <v>68589.900000000009</v>
      </c>
      <c r="J33" s="12">
        <f>VLOOKUP(Table1[[#This Row],[Grade Level]],'Simple Salary Structure'!$B$7:$I$16,6,0)</f>
        <v>5000</v>
      </c>
      <c r="K33" s="12">
        <f>VLOOKUP(Table1[[#This Row],[Grade Level]],'Simple Salary Structure'!$B$7:$I$16,7,0)</f>
        <v>10000</v>
      </c>
      <c r="L33" s="12">
        <f>VLOOKUP(Table1[[#This Row],[Grade Level]],'Simple Salary Structure'!$B$7:$I$16,8,0)</f>
        <v>939493.9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7.25" customHeight="1" x14ac:dyDescent="0.25">
      <c r="A34" s="10">
        <v>26</v>
      </c>
      <c r="B34" s="11" t="s">
        <v>78</v>
      </c>
      <c r="C34" s="10" t="s">
        <v>79</v>
      </c>
      <c r="D34" s="10" t="s">
        <v>25</v>
      </c>
      <c r="E34" s="10" t="s">
        <v>37</v>
      </c>
      <c r="F34" s="12">
        <f>VLOOKUP(Table1[[#This Row],[Grade Level]],'Simple Salary Structure'!$B$7:$I$16,2,0)</f>
        <v>810490</v>
      </c>
      <c r="G34" s="12">
        <f>VLOOKUP(Table1[[#This Row],[Grade Level]],'Simple Salary Structure'!$B$7:$I$16,3,0)</f>
        <v>150000</v>
      </c>
      <c r="H34" s="12">
        <f>VLOOKUP(Table1[[#This Row],[Grade Level]],'Simple Salary Structure'!$B$8:$I$16,4,0)</f>
        <v>20000</v>
      </c>
      <c r="I34" s="12">
        <f>VLOOKUP(Table1[[#This Row],[Grade Level]],'Simple Salary Structure'!$B$7:$I$16,5,0)</f>
        <v>81049</v>
      </c>
      <c r="J34" s="12">
        <f>VLOOKUP(Table1[[#This Row],[Grade Level]],'Simple Salary Structure'!$B$7:$I$16,6,0)</f>
        <v>5000</v>
      </c>
      <c r="K34" s="12">
        <f>VLOOKUP(Table1[[#This Row],[Grade Level]],'Simple Salary Structure'!$B$7:$I$16,7,0)</f>
        <v>10000</v>
      </c>
      <c r="L34" s="12">
        <f>VLOOKUP(Table1[[#This Row],[Grade Level]],'Simple Salary Structure'!$B$7:$I$16,8,0)</f>
        <v>1076545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7.25" customHeight="1" x14ac:dyDescent="0.25">
      <c r="A35" s="10">
        <v>27</v>
      </c>
      <c r="B35" s="11" t="s">
        <v>80</v>
      </c>
      <c r="C35" s="10" t="s">
        <v>81</v>
      </c>
      <c r="D35" s="10" t="s">
        <v>25</v>
      </c>
      <c r="E35" s="10" t="s">
        <v>40</v>
      </c>
      <c r="F35" s="12">
        <f>VLOOKUP(Table1[[#This Row],[Grade Level]],'Simple Salary Structure'!$B$7:$I$16,2,0)</f>
        <v>918468</v>
      </c>
      <c r="G35" s="12">
        <f>VLOOKUP(Table1[[#This Row],[Grade Level]],'Simple Salary Structure'!$B$7:$I$16,3,0)</f>
        <v>150000</v>
      </c>
      <c r="H35" s="12">
        <f>VLOOKUP(Table1[[#This Row],[Grade Level]],'Simple Salary Structure'!$B$8:$I$16,4,0)</f>
        <v>20000</v>
      </c>
      <c r="I35" s="12">
        <f>VLOOKUP(Table1[[#This Row],[Grade Level]],'Simple Salary Structure'!$B$7:$I$16,5,0)</f>
        <v>91846.8</v>
      </c>
      <c r="J35" s="12">
        <f>VLOOKUP(Table1[[#This Row],[Grade Level]],'Simple Salary Structure'!$B$7:$I$16,6,0)</f>
        <v>5000</v>
      </c>
      <c r="K35" s="12">
        <f>VLOOKUP(Table1[[#This Row],[Grade Level]],'Simple Salary Structure'!$B$7:$I$16,7,0)</f>
        <v>10000</v>
      </c>
      <c r="L35" s="12">
        <f>VLOOKUP(Table1[[#This Row],[Grade Level]],'Simple Salary Structure'!$B$7:$I$16,8,0)</f>
        <v>1195321.8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7.25" customHeight="1" x14ac:dyDescent="0.25">
      <c r="A36" s="10">
        <v>28</v>
      </c>
      <c r="B36" s="11" t="s">
        <v>82</v>
      </c>
      <c r="C36" s="10" t="s">
        <v>83</v>
      </c>
      <c r="D36" s="10" t="s">
        <v>21</v>
      </c>
      <c r="E36" s="10" t="s">
        <v>18</v>
      </c>
      <c r="F36" s="12">
        <f>VLOOKUP(Table1[[#This Row],[Grade Level]],'Simple Salary Structure'!$B$7:$I$16,2,0)</f>
        <v>483646</v>
      </c>
      <c r="G36" s="12">
        <f>VLOOKUP(Table1[[#This Row],[Grade Level]],'Simple Salary Structure'!$B$7:$I$16,3,0)</f>
        <v>150000</v>
      </c>
      <c r="H36" s="12">
        <f>VLOOKUP(Table1[[#This Row],[Grade Level]],'Simple Salary Structure'!$B$8:$I$16,4,0)</f>
        <v>20000</v>
      </c>
      <c r="I36" s="12">
        <f>VLOOKUP(Table1[[#This Row],[Grade Level]],'Simple Salary Structure'!$B$7:$I$16,5,0)</f>
        <v>48364.600000000006</v>
      </c>
      <c r="J36" s="12">
        <f>VLOOKUP(Table1[[#This Row],[Grade Level]],'Simple Salary Structure'!$B$7:$I$16,6,0)</f>
        <v>5000</v>
      </c>
      <c r="K36" s="12">
        <f>VLOOKUP(Table1[[#This Row],[Grade Level]],'Simple Salary Structure'!$B$7:$I$16,7,0)</f>
        <v>10000</v>
      </c>
      <c r="L36" s="12">
        <f>VLOOKUP(Table1[[#This Row],[Grade Level]],'Simple Salary Structure'!$B$7:$I$16,8,0)</f>
        <v>717012.6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7.25" customHeight="1" x14ac:dyDescent="0.25">
      <c r="A37" s="10">
        <v>29</v>
      </c>
      <c r="B37" s="11" t="s">
        <v>84</v>
      </c>
      <c r="C37" s="10" t="s">
        <v>85</v>
      </c>
      <c r="D37" s="10" t="s">
        <v>21</v>
      </c>
      <c r="E37" s="10" t="s">
        <v>62</v>
      </c>
      <c r="F37" s="12">
        <f>VLOOKUP(Table1[[#This Row],[Grade Level]],'Simple Salary Structure'!$B$7:$I$16,2,0)</f>
        <v>495507</v>
      </c>
      <c r="G37" s="12">
        <f>VLOOKUP(Table1[[#This Row],[Grade Level]],'Simple Salary Structure'!$B$7:$I$16,3,0)</f>
        <v>150000</v>
      </c>
      <c r="H37" s="12">
        <f>VLOOKUP(Table1[[#This Row],[Grade Level]],'Simple Salary Structure'!$B$8:$I$16,4,0)</f>
        <v>20000</v>
      </c>
      <c r="I37" s="12">
        <f>VLOOKUP(Table1[[#This Row],[Grade Level]],'Simple Salary Structure'!$B$7:$I$16,5,0)</f>
        <v>49550.700000000004</v>
      </c>
      <c r="J37" s="12">
        <f>VLOOKUP(Table1[[#This Row],[Grade Level]],'Simple Salary Structure'!$B$7:$I$16,6,0)</f>
        <v>5000</v>
      </c>
      <c r="K37" s="12">
        <f>VLOOKUP(Table1[[#This Row],[Grade Level]],'Simple Salary Structure'!$B$7:$I$16,7,0)</f>
        <v>10000</v>
      </c>
      <c r="L37" s="12">
        <f>VLOOKUP(Table1[[#This Row],[Grade Level]],'Simple Salary Structure'!$B$7:$I$16,8,0)</f>
        <v>730060.7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7.25" customHeight="1" x14ac:dyDescent="0.25">
      <c r="A38" s="10">
        <v>30</v>
      </c>
      <c r="B38" s="11" t="s">
        <v>86</v>
      </c>
      <c r="C38" s="10" t="s">
        <v>87</v>
      </c>
      <c r="D38" s="10" t="s">
        <v>25</v>
      </c>
      <c r="E38" s="10" t="s">
        <v>32</v>
      </c>
      <c r="F38" s="12">
        <f>VLOOKUP(Table1[[#This Row],[Grade Level]],'Simple Salary Structure'!$B$7:$I$16,2,0)</f>
        <v>550208</v>
      </c>
      <c r="G38" s="12">
        <f>VLOOKUP(Table1[[#This Row],[Grade Level]],'Simple Salary Structure'!$B$7:$I$16,3,0)</f>
        <v>150000</v>
      </c>
      <c r="H38" s="12">
        <f>VLOOKUP(Table1[[#This Row],[Grade Level]],'Simple Salary Structure'!$B$8:$I$16,4,0)</f>
        <v>20000</v>
      </c>
      <c r="I38" s="12">
        <f>VLOOKUP(Table1[[#This Row],[Grade Level]],'Simple Salary Structure'!$B$7:$I$16,5,0)</f>
        <v>55020.800000000003</v>
      </c>
      <c r="J38" s="12">
        <f>VLOOKUP(Table1[[#This Row],[Grade Level]],'Simple Salary Structure'!$B$7:$I$16,6,0)</f>
        <v>5000</v>
      </c>
      <c r="K38" s="12">
        <f>VLOOKUP(Table1[[#This Row],[Grade Level]],'Simple Salary Structure'!$B$7:$I$16,7,0)</f>
        <v>10000</v>
      </c>
      <c r="L38" s="12">
        <f>VLOOKUP(Table1[[#This Row],[Grade Level]],'Simple Salary Structure'!$B$7:$I$16,8,0)</f>
        <v>790232.8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7.25" customHeight="1" x14ac:dyDescent="0.25">
      <c r="A39" s="10">
        <v>31</v>
      </c>
      <c r="B39" s="11" t="s">
        <v>88</v>
      </c>
      <c r="C39" s="10" t="s">
        <v>89</v>
      </c>
      <c r="D39" s="10" t="s">
        <v>25</v>
      </c>
      <c r="E39" s="10" t="s">
        <v>29</v>
      </c>
      <c r="F39" s="12">
        <f>VLOOKUP(Table1[[#This Row],[Grade Level]],'Simple Salary Structure'!$B$7:$I$16,2,0)</f>
        <v>685899</v>
      </c>
      <c r="G39" s="12">
        <f>VLOOKUP(Table1[[#This Row],[Grade Level]],'Simple Salary Structure'!$B$7:$I$16,3,0)</f>
        <v>150000</v>
      </c>
      <c r="H39" s="12">
        <f>VLOOKUP(Table1[[#This Row],[Grade Level]],'Simple Salary Structure'!$B$8:$I$16,4,0)</f>
        <v>20000</v>
      </c>
      <c r="I39" s="12">
        <f>VLOOKUP(Table1[[#This Row],[Grade Level]],'Simple Salary Structure'!$B$7:$I$16,5,0)</f>
        <v>68589.900000000009</v>
      </c>
      <c r="J39" s="12">
        <f>VLOOKUP(Table1[[#This Row],[Grade Level]],'Simple Salary Structure'!$B$7:$I$16,6,0)</f>
        <v>5000</v>
      </c>
      <c r="K39" s="12">
        <f>VLOOKUP(Table1[[#This Row],[Grade Level]],'Simple Salary Structure'!$B$7:$I$16,7,0)</f>
        <v>10000</v>
      </c>
      <c r="L39" s="12">
        <f>VLOOKUP(Table1[[#This Row],[Grade Level]],'Simple Salary Structure'!$B$7:$I$16,8,0)</f>
        <v>939493.9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7.25" customHeight="1" x14ac:dyDescent="0.25">
      <c r="A40" s="10">
        <v>32</v>
      </c>
      <c r="B40" s="11" t="s">
        <v>90</v>
      </c>
      <c r="C40" s="10" t="s">
        <v>91</v>
      </c>
      <c r="D40" s="10" t="s">
        <v>25</v>
      </c>
      <c r="E40" s="10" t="s">
        <v>67</v>
      </c>
      <c r="F40" s="12">
        <f>VLOOKUP(Table1[[#This Row],[Grade Level]],'Simple Salary Structure'!$B$7:$I$16,2,0)</f>
        <v>310648</v>
      </c>
      <c r="G40" s="12">
        <f>VLOOKUP(Table1[[#This Row],[Grade Level]],'Simple Salary Structure'!$B$7:$I$16,3,0)</f>
        <v>150000</v>
      </c>
      <c r="H40" s="12">
        <f>VLOOKUP(Table1[[#This Row],[Grade Level]],'Simple Salary Structure'!$B$8:$I$16,4,0)</f>
        <v>20000</v>
      </c>
      <c r="I40" s="12">
        <f>VLOOKUP(Table1[[#This Row],[Grade Level]],'Simple Salary Structure'!$B$7:$I$16,5,0)</f>
        <v>31064.800000000003</v>
      </c>
      <c r="J40" s="12">
        <f>VLOOKUP(Table1[[#This Row],[Grade Level]],'Simple Salary Structure'!$B$7:$I$16,6,0)</f>
        <v>5000</v>
      </c>
      <c r="K40" s="12">
        <f>VLOOKUP(Table1[[#This Row],[Grade Level]],'Simple Salary Structure'!$B$7:$I$16,7,0)</f>
        <v>10000</v>
      </c>
      <c r="L40" s="12">
        <f>VLOOKUP(Table1[[#This Row],[Grade Level]],'Simple Salary Structure'!$B$7:$I$16,8,0)</f>
        <v>526712.80000000005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7.25" customHeight="1" x14ac:dyDescent="0.25">
      <c r="A41" s="10">
        <v>33</v>
      </c>
      <c r="B41" s="11" t="s">
        <v>92</v>
      </c>
      <c r="C41" s="10" t="s">
        <v>93</v>
      </c>
      <c r="D41" s="10" t="s">
        <v>25</v>
      </c>
      <c r="E41" s="10" t="s">
        <v>22</v>
      </c>
      <c r="F41" s="12">
        <f>VLOOKUP(Table1[[#This Row],[Grade Level]],'Simple Salary Structure'!$B$7:$I$16,2,0)</f>
        <v>415159</v>
      </c>
      <c r="G41" s="12">
        <f>VLOOKUP(Table1[[#This Row],[Grade Level]],'Simple Salary Structure'!$B$7:$I$16,3,0)</f>
        <v>150000</v>
      </c>
      <c r="H41" s="12">
        <f>VLOOKUP(Table1[[#This Row],[Grade Level]],'Simple Salary Structure'!$B$8:$I$16,4,0)</f>
        <v>20000</v>
      </c>
      <c r="I41" s="12">
        <f>VLOOKUP(Table1[[#This Row],[Grade Level]],'Simple Salary Structure'!$B$7:$I$16,5,0)</f>
        <v>41515.9</v>
      </c>
      <c r="J41" s="12">
        <f>VLOOKUP(Table1[[#This Row],[Grade Level]],'Simple Salary Structure'!$B$7:$I$16,6,0)</f>
        <v>5000</v>
      </c>
      <c r="K41" s="12">
        <f>VLOOKUP(Table1[[#This Row],[Grade Level]],'Simple Salary Structure'!$B$7:$I$16,7,0)</f>
        <v>10000</v>
      </c>
      <c r="L41" s="12">
        <f>VLOOKUP(Table1[[#This Row],[Grade Level]],'Simple Salary Structure'!$B$7:$I$16,8,0)</f>
        <v>641675.9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7.25" customHeight="1" x14ac:dyDescent="0.25">
      <c r="A42" s="10">
        <v>34</v>
      </c>
      <c r="B42" s="11" t="s">
        <v>94</v>
      </c>
      <c r="C42" s="10" t="s">
        <v>95</v>
      </c>
      <c r="D42" s="10" t="s">
        <v>28</v>
      </c>
      <c r="E42" s="10" t="s">
        <v>67</v>
      </c>
      <c r="F42" s="12">
        <f>VLOOKUP(Table1[[#This Row],[Grade Level]],'Simple Salary Structure'!$B$7:$I$16,2,0)</f>
        <v>310648</v>
      </c>
      <c r="G42" s="12">
        <f>VLOOKUP(Table1[[#This Row],[Grade Level]],'Simple Salary Structure'!$B$7:$I$16,3,0)</f>
        <v>150000</v>
      </c>
      <c r="H42" s="12">
        <f>VLOOKUP(Table1[[#This Row],[Grade Level]],'Simple Salary Structure'!$B$8:$I$16,4,0)</f>
        <v>20000</v>
      </c>
      <c r="I42" s="12">
        <f>VLOOKUP(Table1[[#This Row],[Grade Level]],'Simple Salary Structure'!$B$7:$I$16,5,0)</f>
        <v>31064.800000000003</v>
      </c>
      <c r="J42" s="12">
        <f>VLOOKUP(Table1[[#This Row],[Grade Level]],'Simple Salary Structure'!$B$7:$I$16,6,0)</f>
        <v>5000</v>
      </c>
      <c r="K42" s="12">
        <f>VLOOKUP(Table1[[#This Row],[Grade Level]],'Simple Salary Structure'!$B$7:$I$16,7,0)</f>
        <v>10000</v>
      </c>
      <c r="L42" s="12">
        <f>VLOOKUP(Table1[[#This Row],[Grade Level]],'Simple Salary Structure'!$B$7:$I$16,8,0)</f>
        <v>526712.80000000005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7.25" customHeight="1" x14ac:dyDescent="0.25">
      <c r="A43" s="10">
        <v>35</v>
      </c>
      <c r="B43" s="11" t="s">
        <v>96</v>
      </c>
      <c r="C43" s="10" t="s">
        <v>97</v>
      </c>
      <c r="D43" s="10" t="s">
        <v>28</v>
      </c>
      <c r="E43" s="10" t="s">
        <v>22</v>
      </c>
      <c r="F43" s="12">
        <f>VLOOKUP(Table1[[#This Row],[Grade Level]],'Simple Salary Structure'!$B$7:$I$16,2,0)</f>
        <v>415159</v>
      </c>
      <c r="G43" s="12">
        <f>VLOOKUP(Table1[[#This Row],[Grade Level]],'Simple Salary Structure'!$B$7:$I$16,3,0)</f>
        <v>150000</v>
      </c>
      <c r="H43" s="12">
        <f>VLOOKUP(Table1[[#This Row],[Grade Level]],'Simple Salary Structure'!$B$8:$I$16,4,0)</f>
        <v>20000</v>
      </c>
      <c r="I43" s="12">
        <f>VLOOKUP(Table1[[#This Row],[Grade Level]],'Simple Salary Structure'!$B$7:$I$16,5,0)</f>
        <v>41515.9</v>
      </c>
      <c r="J43" s="12">
        <f>VLOOKUP(Table1[[#This Row],[Grade Level]],'Simple Salary Structure'!$B$7:$I$16,6,0)</f>
        <v>5000</v>
      </c>
      <c r="K43" s="12">
        <f>VLOOKUP(Table1[[#This Row],[Grade Level]],'Simple Salary Structure'!$B$7:$I$16,7,0)</f>
        <v>10000</v>
      </c>
      <c r="L43" s="12">
        <f>VLOOKUP(Table1[[#This Row],[Grade Level]],'Simple Salary Structure'!$B$7:$I$16,8,0)</f>
        <v>641675.9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7.25" customHeight="1" x14ac:dyDescent="0.25">
      <c r="A44" s="10">
        <v>36</v>
      </c>
      <c r="B44" s="11" t="s">
        <v>98</v>
      </c>
      <c r="C44" s="10" t="s">
        <v>99</v>
      </c>
      <c r="D44" s="10" t="s">
        <v>17</v>
      </c>
      <c r="E44" s="10" t="s">
        <v>67</v>
      </c>
      <c r="F44" s="12">
        <f>VLOOKUP(Table1[[#This Row],[Grade Level]],'Simple Salary Structure'!$B$7:$I$16,2,0)</f>
        <v>310648</v>
      </c>
      <c r="G44" s="12">
        <f>VLOOKUP(Table1[[#This Row],[Grade Level]],'Simple Salary Structure'!$B$7:$I$16,3,0)</f>
        <v>150000</v>
      </c>
      <c r="H44" s="12">
        <f>VLOOKUP(Table1[[#This Row],[Grade Level]],'Simple Salary Structure'!$B$8:$I$16,4,0)</f>
        <v>20000</v>
      </c>
      <c r="I44" s="12">
        <f>VLOOKUP(Table1[[#This Row],[Grade Level]],'Simple Salary Structure'!$B$7:$I$16,5,0)</f>
        <v>31064.800000000003</v>
      </c>
      <c r="J44" s="12">
        <f>VLOOKUP(Table1[[#This Row],[Grade Level]],'Simple Salary Structure'!$B$7:$I$16,6,0)</f>
        <v>5000</v>
      </c>
      <c r="K44" s="12">
        <f>VLOOKUP(Table1[[#This Row],[Grade Level]],'Simple Salary Structure'!$B$7:$I$16,7,0)</f>
        <v>10000</v>
      </c>
      <c r="L44" s="12">
        <f>VLOOKUP(Table1[[#This Row],[Grade Level]],'Simple Salary Structure'!$B$7:$I$16,8,0)</f>
        <v>526712.80000000005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7.25" customHeight="1" x14ac:dyDescent="0.25">
      <c r="A45" s="10">
        <v>37</v>
      </c>
      <c r="B45" s="11" t="s">
        <v>100</v>
      </c>
      <c r="C45" s="10" t="s">
        <v>101</v>
      </c>
      <c r="D45" s="10" t="s">
        <v>17</v>
      </c>
      <c r="E45" s="10" t="s">
        <v>22</v>
      </c>
      <c r="F45" s="12">
        <f>VLOOKUP(Table1[[#This Row],[Grade Level]],'Simple Salary Structure'!$B$7:$I$16,2,0)</f>
        <v>415159</v>
      </c>
      <c r="G45" s="12">
        <f>VLOOKUP(Table1[[#This Row],[Grade Level]],'Simple Salary Structure'!$B$7:$I$16,3,0)</f>
        <v>150000</v>
      </c>
      <c r="H45" s="12">
        <f>VLOOKUP(Table1[[#This Row],[Grade Level]],'Simple Salary Structure'!$B$8:$I$16,4,0)</f>
        <v>20000</v>
      </c>
      <c r="I45" s="12">
        <f>VLOOKUP(Table1[[#This Row],[Grade Level]],'Simple Salary Structure'!$B$7:$I$16,5,0)</f>
        <v>41515.9</v>
      </c>
      <c r="J45" s="12">
        <f>VLOOKUP(Table1[[#This Row],[Grade Level]],'Simple Salary Structure'!$B$7:$I$16,6,0)</f>
        <v>5000</v>
      </c>
      <c r="K45" s="12">
        <f>VLOOKUP(Table1[[#This Row],[Grade Level]],'Simple Salary Structure'!$B$7:$I$16,7,0)</f>
        <v>10000</v>
      </c>
      <c r="L45" s="12">
        <f>VLOOKUP(Table1[[#This Row],[Grade Level]],'Simple Salary Structure'!$B$7:$I$16,8,0)</f>
        <v>641675.9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7.25" customHeight="1" x14ac:dyDescent="0.25">
      <c r="A46" s="10">
        <v>38</v>
      </c>
      <c r="B46" s="11" t="s">
        <v>102</v>
      </c>
      <c r="C46" s="10" t="s">
        <v>103</v>
      </c>
      <c r="D46" s="10" t="s">
        <v>28</v>
      </c>
      <c r="E46" s="10" t="s">
        <v>18</v>
      </c>
      <c r="F46" s="12">
        <f>VLOOKUP(Table1[[#This Row],[Grade Level]],'Simple Salary Structure'!$B$7:$I$16,2,0)</f>
        <v>483646</v>
      </c>
      <c r="G46" s="12">
        <f>VLOOKUP(Table1[[#This Row],[Grade Level]],'Simple Salary Structure'!$B$7:$I$16,3,0)</f>
        <v>150000</v>
      </c>
      <c r="H46" s="12">
        <f>VLOOKUP(Table1[[#This Row],[Grade Level]],'Simple Salary Structure'!$B$8:$I$16,4,0)</f>
        <v>20000</v>
      </c>
      <c r="I46" s="12">
        <f>VLOOKUP(Table1[[#This Row],[Grade Level]],'Simple Salary Structure'!$B$7:$I$16,5,0)</f>
        <v>48364.600000000006</v>
      </c>
      <c r="J46" s="12">
        <f>VLOOKUP(Table1[[#This Row],[Grade Level]],'Simple Salary Structure'!$B$7:$I$16,6,0)</f>
        <v>5000</v>
      </c>
      <c r="K46" s="12">
        <f>VLOOKUP(Table1[[#This Row],[Grade Level]],'Simple Salary Structure'!$B$7:$I$16,7,0)</f>
        <v>10000</v>
      </c>
      <c r="L46" s="12">
        <f>VLOOKUP(Table1[[#This Row],[Grade Level]],'Simple Salary Structure'!$B$7:$I$16,8,0)</f>
        <v>717012.6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7.25" customHeight="1" x14ac:dyDescent="0.25">
      <c r="A47" s="10">
        <v>39</v>
      </c>
      <c r="B47" s="11" t="s">
        <v>104</v>
      </c>
      <c r="C47" s="10" t="s">
        <v>105</v>
      </c>
      <c r="D47" s="10" t="s">
        <v>17</v>
      </c>
      <c r="E47" s="10" t="s">
        <v>62</v>
      </c>
      <c r="F47" s="12">
        <f>VLOOKUP(Table1[[#This Row],[Grade Level]],'Simple Salary Structure'!$B$7:$I$16,2,0)</f>
        <v>495507</v>
      </c>
      <c r="G47" s="12">
        <f>VLOOKUP(Table1[[#This Row],[Grade Level]],'Simple Salary Structure'!$B$7:$I$16,3,0)</f>
        <v>150000</v>
      </c>
      <c r="H47" s="12">
        <f>VLOOKUP(Table1[[#This Row],[Grade Level]],'Simple Salary Structure'!$B$8:$I$16,4,0)</f>
        <v>20000</v>
      </c>
      <c r="I47" s="12">
        <f>VLOOKUP(Table1[[#This Row],[Grade Level]],'Simple Salary Structure'!$B$7:$I$16,5,0)</f>
        <v>49550.700000000004</v>
      </c>
      <c r="J47" s="12">
        <f>VLOOKUP(Table1[[#This Row],[Grade Level]],'Simple Salary Structure'!$B$7:$I$16,6,0)</f>
        <v>5000</v>
      </c>
      <c r="K47" s="12">
        <f>VLOOKUP(Table1[[#This Row],[Grade Level]],'Simple Salary Structure'!$B$7:$I$16,7,0)</f>
        <v>10000</v>
      </c>
      <c r="L47" s="12">
        <f>VLOOKUP(Table1[[#This Row],[Grade Level]],'Simple Salary Structure'!$B$7:$I$16,8,0)</f>
        <v>730060.7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7.25" customHeight="1" x14ac:dyDescent="0.25">
      <c r="A48" s="10">
        <v>40</v>
      </c>
      <c r="B48" s="11" t="s">
        <v>106</v>
      </c>
      <c r="C48" s="10" t="s">
        <v>107</v>
      </c>
      <c r="D48" s="10" t="s">
        <v>28</v>
      </c>
      <c r="E48" s="10" t="s">
        <v>32</v>
      </c>
      <c r="F48" s="12">
        <f>VLOOKUP(Table1[[#This Row],[Grade Level]],'Simple Salary Structure'!$B$7:$I$16,2,0)</f>
        <v>550208</v>
      </c>
      <c r="G48" s="12">
        <f>VLOOKUP(Table1[[#This Row],[Grade Level]],'Simple Salary Structure'!$B$7:$I$16,3,0)</f>
        <v>150000</v>
      </c>
      <c r="H48" s="12">
        <f>VLOOKUP(Table1[[#This Row],[Grade Level]],'Simple Salary Structure'!$B$8:$I$16,4,0)</f>
        <v>20000</v>
      </c>
      <c r="I48" s="12">
        <f>VLOOKUP(Table1[[#This Row],[Grade Level]],'Simple Salary Structure'!$B$7:$I$16,5,0)</f>
        <v>55020.800000000003</v>
      </c>
      <c r="J48" s="12">
        <f>VLOOKUP(Table1[[#This Row],[Grade Level]],'Simple Salary Structure'!$B$7:$I$16,6,0)</f>
        <v>5000</v>
      </c>
      <c r="K48" s="12">
        <f>VLOOKUP(Table1[[#This Row],[Grade Level]],'Simple Salary Structure'!$B$7:$I$16,7,0)</f>
        <v>10000</v>
      </c>
      <c r="L48" s="12">
        <f>VLOOKUP(Table1[[#This Row],[Grade Level]],'Simple Salary Structure'!$B$7:$I$16,8,0)</f>
        <v>790232.8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7.25" customHeight="1" x14ac:dyDescent="0.25">
      <c r="A49" s="10">
        <v>41</v>
      </c>
      <c r="B49" s="11" t="s">
        <v>108</v>
      </c>
      <c r="C49" s="10" t="s">
        <v>109</v>
      </c>
      <c r="D49" s="10" t="s">
        <v>21</v>
      </c>
      <c r="E49" s="10" t="s">
        <v>22</v>
      </c>
      <c r="F49" s="12">
        <f>VLOOKUP(Table1[[#This Row],[Grade Level]],'Simple Salary Structure'!$B$7:$I$16,2,0)</f>
        <v>415159</v>
      </c>
      <c r="G49" s="12">
        <f>VLOOKUP(Table1[[#This Row],[Grade Level]],'Simple Salary Structure'!$B$7:$I$16,3,0)</f>
        <v>150000</v>
      </c>
      <c r="H49" s="12">
        <f>VLOOKUP(Table1[[#This Row],[Grade Level]],'Simple Salary Structure'!$B$8:$I$16,4,0)</f>
        <v>20000</v>
      </c>
      <c r="I49" s="12">
        <f>VLOOKUP(Table1[[#This Row],[Grade Level]],'Simple Salary Structure'!$B$7:$I$16,5,0)</f>
        <v>41515.9</v>
      </c>
      <c r="J49" s="12">
        <f>VLOOKUP(Table1[[#This Row],[Grade Level]],'Simple Salary Structure'!$B$7:$I$16,6,0)</f>
        <v>5000</v>
      </c>
      <c r="K49" s="12">
        <f>VLOOKUP(Table1[[#This Row],[Grade Level]],'Simple Salary Structure'!$B$7:$I$16,7,0)</f>
        <v>10000</v>
      </c>
      <c r="L49" s="12">
        <f>VLOOKUP(Table1[[#This Row],[Grade Level]],'Simple Salary Structure'!$B$7:$I$16,8,0)</f>
        <v>641675.9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7.25" customHeight="1" x14ac:dyDescent="0.25">
      <c r="A50" s="10">
        <v>42</v>
      </c>
      <c r="B50" s="11" t="s">
        <v>110</v>
      </c>
      <c r="C50" s="10" t="s">
        <v>111</v>
      </c>
      <c r="D50" s="10" t="s">
        <v>17</v>
      </c>
      <c r="E50" s="10" t="s">
        <v>67</v>
      </c>
      <c r="F50" s="12">
        <f>VLOOKUP(Table1[[#This Row],[Grade Level]],'Simple Salary Structure'!$B$7:$I$16,2,0)</f>
        <v>310648</v>
      </c>
      <c r="G50" s="12">
        <f>VLOOKUP(Table1[[#This Row],[Grade Level]],'Simple Salary Structure'!$B$7:$I$16,3,0)</f>
        <v>150000</v>
      </c>
      <c r="H50" s="12">
        <f>VLOOKUP(Table1[[#This Row],[Grade Level]],'Simple Salary Structure'!$B$8:$I$16,4,0)</f>
        <v>20000</v>
      </c>
      <c r="I50" s="12">
        <f>VLOOKUP(Table1[[#This Row],[Grade Level]],'Simple Salary Structure'!$B$7:$I$16,5,0)</f>
        <v>31064.800000000003</v>
      </c>
      <c r="J50" s="12">
        <f>VLOOKUP(Table1[[#This Row],[Grade Level]],'Simple Salary Structure'!$B$7:$I$16,6,0)</f>
        <v>5000</v>
      </c>
      <c r="K50" s="12">
        <f>VLOOKUP(Table1[[#This Row],[Grade Level]],'Simple Salary Structure'!$B$7:$I$16,7,0)</f>
        <v>10000</v>
      </c>
      <c r="L50" s="12">
        <f>VLOOKUP(Table1[[#This Row],[Grade Level]],'Simple Salary Structure'!$B$7:$I$16,8,0)</f>
        <v>526712.80000000005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7.25" customHeight="1" x14ac:dyDescent="0.25">
      <c r="A51" s="10">
        <v>43</v>
      </c>
      <c r="B51" s="11" t="s">
        <v>112</v>
      </c>
      <c r="C51" s="10" t="s">
        <v>113</v>
      </c>
      <c r="D51" s="10" t="s">
        <v>25</v>
      </c>
      <c r="E51" s="10" t="s">
        <v>22</v>
      </c>
      <c r="F51" s="12">
        <f>VLOOKUP(Table1[[#This Row],[Grade Level]],'Simple Salary Structure'!$B$7:$I$16,2,0)</f>
        <v>415159</v>
      </c>
      <c r="G51" s="12">
        <f>VLOOKUP(Table1[[#This Row],[Grade Level]],'Simple Salary Structure'!$B$7:$I$16,3,0)</f>
        <v>150000</v>
      </c>
      <c r="H51" s="12">
        <f>VLOOKUP(Table1[[#This Row],[Grade Level]],'Simple Salary Structure'!$B$8:$I$16,4,0)</f>
        <v>20000</v>
      </c>
      <c r="I51" s="12">
        <f>VLOOKUP(Table1[[#This Row],[Grade Level]],'Simple Salary Structure'!$B$7:$I$16,5,0)</f>
        <v>41515.9</v>
      </c>
      <c r="J51" s="12">
        <f>VLOOKUP(Table1[[#This Row],[Grade Level]],'Simple Salary Structure'!$B$7:$I$16,6,0)</f>
        <v>5000</v>
      </c>
      <c r="K51" s="12">
        <f>VLOOKUP(Table1[[#This Row],[Grade Level]],'Simple Salary Structure'!$B$7:$I$16,7,0)</f>
        <v>10000</v>
      </c>
      <c r="L51" s="12">
        <f>VLOOKUP(Table1[[#This Row],[Grade Level]],'Simple Salary Structure'!$B$7:$I$16,8,0)</f>
        <v>641675.9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7.25" customHeight="1" x14ac:dyDescent="0.25">
      <c r="A52" s="10">
        <v>44</v>
      </c>
      <c r="B52" s="11" t="s">
        <v>114</v>
      </c>
      <c r="C52" s="10" t="s">
        <v>115</v>
      </c>
      <c r="D52" s="10" t="s">
        <v>25</v>
      </c>
      <c r="E52" s="10" t="s">
        <v>67</v>
      </c>
      <c r="F52" s="12">
        <f>VLOOKUP(Table1[[#This Row],[Grade Level]],'Simple Salary Structure'!$B$7:$I$16,2,0)</f>
        <v>310648</v>
      </c>
      <c r="G52" s="12">
        <f>VLOOKUP(Table1[[#This Row],[Grade Level]],'Simple Salary Structure'!$B$7:$I$16,3,0)</f>
        <v>150000</v>
      </c>
      <c r="H52" s="12">
        <f>VLOOKUP(Table1[[#This Row],[Grade Level]],'Simple Salary Structure'!$B$8:$I$16,4,0)</f>
        <v>20000</v>
      </c>
      <c r="I52" s="12">
        <f>VLOOKUP(Table1[[#This Row],[Grade Level]],'Simple Salary Structure'!$B$7:$I$16,5,0)</f>
        <v>31064.800000000003</v>
      </c>
      <c r="J52" s="12">
        <f>VLOOKUP(Table1[[#This Row],[Grade Level]],'Simple Salary Structure'!$B$7:$I$16,6,0)</f>
        <v>5000</v>
      </c>
      <c r="K52" s="12">
        <f>VLOOKUP(Table1[[#This Row],[Grade Level]],'Simple Salary Structure'!$B$7:$I$16,7,0)</f>
        <v>10000</v>
      </c>
      <c r="L52" s="12">
        <f>VLOOKUP(Table1[[#This Row],[Grade Level]],'Simple Salary Structure'!$B$7:$I$16,8,0)</f>
        <v>526712.80000000005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7.25" customHeight="1" x14ac:dyDescent="0.25">
      <c r="A53" s="10">
        <v>45</v>
      </c>
      <c r="B53" s="11" t="s">
        <v>116</v>
      </c>
      <c r="C53" s="10" t="s">
        <v>117</v>
      </c>
      <c r="D53" s="10" t="s">
        <v>17</v>
      </c>
      <c r="E53" s="10" t="s">
        <v>22</v>
      </c>
      <c r="F53" s="12">
        <f>VLOOKUP(Table1[[#This Row],[Grade Level]],'Simple Salary Structure'!$B$7:$I$16,2,0)</f>
        <v>415159</v>
      </c>
      <c r="G53" s="12">
        <f>VLOOKUP(Table1[[#This Row],[Grade Level]],'Simple Salary Structure'!$B$7:$I$16,3,0)</f>
        <v>150000</v>
      </c>
      <c r="H53" s="12">
        <f>VLOOKUP(Table1[[#This Row],[Grade Level]],'Simple Salary Structure'!$B$8:$I$16,4,0)</f>
        <v>20000</v>
      </c>
      <c r="I53" s="12">
        <f>VLOOKUP(Table1[[#This Row],[Grade Level]],'Simple Salary Structure'!$B$7:$I$16,5,0)</f>
        <v>41515.9</v>
      </c>
      <c r="J53" s="12">
        <f>VLOOKUP(Table1[[#This Row],[Grade Level]],'Simple Salary Structure'!$B$7:$I$16,6,0)</f>
        <v>5000</v>
      </c>
      <c r="K53" s="12">
        <f>VLOOKUP(Table1[[#This Row],[Grade Level]],'Simple Salary Structure'!$B$7:$I$16,7,0)</f>
        <v>10000</v>
      </c>
      <c r="L53" s="12">
        <f>VLOOKUP(Table1[[#This Row],[Grade Level]],'Simple Salary Structure'!$B$7:$I$16,8,0)</f>
        <v>641675.9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7.25" customHeight="1" x14ac:dyDescent="0.25">
      <c r="A54" s="10">
        <v>46</v>
      </c>
      <c r="B54" s="11" t="s">
        <v>118</v>
      </c>
      <c r="C54" s="10" t="s">
        <v>119</v>
      </c>
      <c r="D54" s="10" t="s">
        <v>28</v>
      </c>
      <c r="E54" s="10" t="s">
        <v>18</v>
      </c>
      <c r="F54" s="12">
        <f>VLOOKUP(Table1[[#This Row],[Grade Level]],'Simple Salary Structure'!$B$7:$I$16,2,0)</f>
        <v>483646</v>
      </c>
      <c r="G54" s="12">
        <f>VLOOKUP(Table1[[#This Row],[Grade Level]],'Simple Salary Structure'!$B$7:$I$16,3,0)</f>
        <v>150000</v>
      </c>
      <c r="H54" s="12">
        <f>VLOOKUP(Table1[[#This Row],[Grade Level]],'Simple Salary Structure'!$B$8:$I$16,4,0)</f>
        <v>20000</v>
      </c>
      <c r="I54" s="12">
        <f>VLOOKUP(Table1[[#This Row],[Grade Level]],'Simple Salary Structure'!$B$7:$I$16,5,0)</f>
        <v>48364.600000000006</v>
      </c>
      <c r="J54" s="12">
        <f>VLOOKUP(Table1[[#This Row],[Grade Level]],'Simple Salary Structure'!$B$7:$I$16,6,0)</f>
        <v>5000</v>
      </c>
      <c r="K54" s="12">
        <f>VLOOKUP(Table1[[#This Row],[Grade Level]],'Simple Salary Structure'!$B$7:$I$16,7,0)</f>
        <v>10000</v>
      </c>
      <c r="L54" s="12">
        <f>VLOOKUP(Table1[[#This Row],[Grade Level]],'Simple Salary Structure'!$B$7:$I$16,8,0)</f>
        <v>717012.6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7.25" customHeight="1" x14ac:dyDescent="0.25">
      <c r="A55" s="10">
        <v>47</v>
      </c>
      <c r="B55" s="11" t="s">
        <v>120</v>
      </c>
      <c r="C55" s="10" t="s">
        <v>121</v>
      </c>
      <c r="D55" s="10" t="s">
        <v>28</v>
      </c>
      <c r="E55" s="10" t="s">
        <v>62</v>
      </c>
      <c r="F55" s="12">
        <f>VLOOKUP(Table1[[#This Row],[Grade Level]],'Simple Salary Structure'!$B$7:$I$16,2,0)</f>
        <v>495507</v>
      </c>
      <c r="G55" s="12">
        <f>VLOOKUP(Table1[[#This Row],[Grade Level]],'Simple Salary Structure'!$B$7:$I$16,3,0)</f>
        <v>150000</v>
      </c>
      <c r="H55" s="12">
        <f>VLOOKUP(Table1[[#This Row],[Grade Level]],'Simple Salary Structure'!$B$8:$I$16,4,0)</f>
        <v>20000</v>
      </c>
      <c r="I55" s="12">
        <f>VLOOKUP(Table1[[#This Row],[Grade Level]],'Simple Salary Structure'!$B$7:$I$16,5,0)</f>
        <v>49550.700000000004</v>
      </c>
      <c r="J55" s="12">
        <f>VLOOKUP(Table1[[#This Row],[Grade Level]],'Simple Salary Structure'!$B$7:$I$16,6,0)</f>
        <v>5000</v>
      </c>
      <c r="K55" s="12">
        <f>VLOOKUP(Table1[[#This Row],[Grade Level]],'Simple Salary Structure'!$B$7:$I$16,7,0)</f>
        <v>10000</v>
      </c>
      <c r="L55" s="12">
        <f>VLOOKUP(Table1[[#This Row],[Grade Level]],'Simple Salary Structure'!$B$7:$I$16,8,0)</f>
        <v>730060.7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7.25" customHeight="1" x14ac:dyDescent="0.25">
      <c r="A56" s="10">
        <v>48</v>
      </c>
      <c r="B56" s="11" t="s">
        <v>122</v>
      </c>
      <c r="C56" s="10" t="s">
        <v>123</v>
      </c>
      <c r="D56" s="10" t="s">
        <v>17</v>
      </c>
      <c r="E56" s="10" t="s">
        <v>32</v>
      </c>
      <c r="F56" s="12">
        <f>VLOOKUP(Table1[[#This Row],[Grade Level]],'Simple Salary Structure'!$B$7:$I$16,2,0)</f>
        <v>550208</v>
      </c>
      <c r="G56" s="12">
        <f>VLOOKUP(Table1[[#This Row],[Grade Level]],'Simple Salary Structure'!$B$7:$I$16,3,0)</f>
        <v>150000</v>
      </c>
      <c r="H56" s="12">
        <f>VLOOKUP(Table1[[#This Row],[Grade Level]],'Simple Salary Structure'!$B$8:$I$16,4,0)</f>
        <v>20000</v>
      </c>
      <c r="I56" s="12">
        <f>VLOOKUP(Table1[[#This Row],[Grade Level]],'Simple Salary Structure'!$B$7:$I$16,5,0)</f>
        <v>55020.800000000003</v>
      </c>
      <c r="J56" s="12">
        <f>VLOOKUP(Table1[[#This Row],[Grade Level]],'Simple Salary Structure'!$B$7:$I$16,6,0)</f>
        <v>5000</v>
      </c>
      <c r="K56" s="12">
        <f>VLOOKUP(Table1[[#This Row],[Grade Level]],'Simple Salary Structure'!$B$7:$I$16,7,0)</f>
        <v>10000</v>
      </c>
      <c r="L56" s="12">
        <f>VLOOKUP(Table1[[#This Row],[Grade Level]],'Simple Salary Structure'!$B$7:$I$16,8,0)</f>
        <v>790232.8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7.25" customHeight="1" x14ac:dyDescent="0.25">
      <c r="A57" s="10">
        <v>49</v>
      </c>
      <c r="B57" s="11" t="s">
        <v>124</v>
      </c>
      <c r="C57" s="10" t="s">
        <v>125</v>
      </c>
      <c r="D57" s="10" t="s">
        <v>21</v>
      </c>
      <c r="E57" s="10" t="s">
        <v>29</v>
      </c>
      <c r="F57" s="12">
        <f>VLOOKUP(Table1[[#This Row],[Grade Level]],'Simple Salary Structure'!$B$7:$I$16,2,0)</f>
        <v>685899</v>
      </c>
      <c r="G57" s="12">
        <f>VLOOKUP(Table1[[#This Row],[Grade Level]],'Simple Salary Structure'!$B$7:$I$16,3,0)</f>
        <v>150000</v>
      </c>
      <c r="H57" s="12">
        <f>VLOOKUP(Table1[[#This Row],[Grade Level]],'Simple Salary Structure'!$B$8:$I$16,4,0)</f>
        <v>20000</v>
      </c>
      <c r="I57" s="12">
        <f>VLOOKUP(Table1[[#This Row],[Grade Level]],'Simple Salary Structure'!$B$7:$I$16,5,0)</f>
        <v>68589.900000000009</v>
      </c>
      <c r="J57" s="12">
        <f>VLOOKUP(Table1[[#This Row],[Grade Level]],'Simple Salary Structure'!$B$7:$I$16,6,0)</f>
        <v>5000</v>
      </c>
      <c r="K57" s="12">
        <f>VLOOKUP(Table1[[#This Row],[Grade Level]],'Simple Salary Structure'!$B$7:$I$16,7,0)</f>
        <v>10000</v>
      </c>
      <c r="L57" s="12">
        <f>VLOOKUP(Table1[[#This Row],[Grade Level]],'Simple Salary Structure'!$B$7:$I$16,8,0)</f>
        <v>939493.9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7.25" customHeight="1" x14ac:dyDescent="0.25">
      <c r="A58" s="10">
        <v>50</v>
      </c>
      <c r="B58" s="11" t="s">
        <v>126</v>
      </c>
      <c r="C58" s="10" t="s">
        <v>127</v>
      </c>
      <c r="D58" s="10" t="s">
        <v>28</v>
      </c>
      <c r="E58" s="10" t="s">
        <v>40</v>
      </c>
      <c r="F58" s="12">
        <f>VLOOKUP(Table1[[#This Row],[Grade Level]],'Simple Salary Structure'!$B$7:$I$16,2,0)</f>
        <v>918468</v>
      </c>
      <c r="G58" s="12">
        <f>VLOOKUP(Table1[[#This Row],[Grade Level]],'Simple Salary Structure'!$B$7:$I$16,3,0)</f>
        <v>150000</v>
      </c>
      <c r="H58" s="12">
        <f>VLOOKUP(Table1[[#This Row],[Grade Level]],'Simple Salary Structure'!$B$8:$I$16,4,0)</f>
        <v>20000</v>
      </c>
      <c r="I58" s="12">
        <f>VLOOKUP(Table1[[#This Row],[Grade Level]],'Simple Salary Structure'!$B$7:$I$16,5,0)</f>
        <v>91846.8</v>
      </c>
      <c r="J58" s="12">
        <f>VLOOKUP(Table1[[#This Row],[Grade Level]],'Simple Salary Structure'!$B$7:$I$16,6,0)</f>
        <v>5000</v>
      </c>
      <c r="K58" s="12">
        <f>VLOOKUP(Table1[[#This Row],[Grade Level]],'Simple Salary Structure'!$B$7:$I$16,7,0)</f>
        <v>10000</v>
      </c>
      <c r="L58" s="12">
        <f>VLOOKUP(Table1[[#This Row],[Grade Level]],'Simple Salary Structure'!$B$7:$I$16,8,0)</f>
        <v>1195321.8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7.25" customHeight="1" x14ac:dyDescent="0.25">
      <c r="A59" s="10">
        <v>51</v>
      </c>
      <c r="B59" s="11" t="s">
        <v>128</v>
      </c>
      <c r="C59" s="10" t="s">
        <v>129</v>
      </c>
      <c r="D59" s="10" t="s">
        <v>28</v>
      </c>
      <c r="E59" s="10" t="s">
        <v>22</v>
      </c>
      <c r="F59" s="12">
        <f>VLOOKUP(Table1[[#This Row],[Grade Level]],'Simple Salary Structure'!$B$7:$I$16,2,0)</f>
        <v>415159</v>
      </c>
      <c r="G59" s="12">
        <f>VLOOKUP(Table1[[#This Row],[Grade Level]],'Simple Salary Structure'!$B$7:$I$16,3,0)</f>
        <v>150000</v>
      </c>
      <c r="H59" s="12">
        <f>VLOOKUP(Table1[[#This Row],[Grade Level]],'Simple Salary Structure'!$B$8:$I$16,4,0)</f>
        <v>20000</v>
      </c>
      <c r="I59" s="12">
        <f>VLOOKUP(Table1[[#This Row],[Grade Level]],'Simple Salary Structure'!$B$7:$I$16,5,0)</f>
        <v>41515.9</v>
      </c>
      <c r="J59" s="12">
        <f>VLOOKUP(Table1[[#This Row],[Grade Level]],'Simple Salary Structure'!$B$7:$I$16,6,0)</f>
        <v>5000</v>
      </c>
      <c r="K59" s="12">
        <f>VLOOKUP(Table1[[#This Row],[Grade Level]],'Simple Salary Structure'!$B$7:$I$16,7,0)</f>
        <v>10000</v>
      </c>
      <c r="L59" s="12">
        <f>VLOOKUP(Table1[[#This Row],[Grade Level]],'Simple Salary Structure'!$B$7:$I$16,8,0)</f>
        <v>641675.9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7.25" customHeight="1" x14ac:dyDescent="0.25">
      <c r="A60" s="10">
        <v>52</v>
      </c>
      <c r="B60" s="11" t="s">
        <v>130</v>
      </c>
      <c r="C60" s="10" t="s">
        <v>131</v>
      </c>
      <c r="D60" s="10" t="s">
        <v>28</v>
      </c>
      <c r="E60" s="10" t="s">
        <v>18</v>
      </c>
      <c r="F60" s="12">
        <f>VLOOKUP(Table1[[#This Row],[Grade Level]],'Simple Salary Structure'!$B$7:$I$16,2,0)</f>
        <v>483646</v>
      </c>
      <c r="G60" s="12">
        <f>VLOOKUP(Table1[[#This Row],[Grade Level]],'Simple Salary Structure'!$B$7:$I$16,3,0)</f>
        <v>150000</v>
      </c>
      <c r="H60" s="12">
        <f>VLOOKUP(Table1[[#This Row],[Grade Level]],'Simple Salary Structure'!$B$8:$I$16,4,0)</f>
        <v>20000</v>
      </c>
      <c r="I60" s="12">
        <f>VLOOKUP(Table1[[#This Row],[Grade Level]],'Simple Salary Structure'!$B$7:$I$16,5,0)</f>
        <v>48364.600000000006</v>
      </c>
      <c r="J60" s="12">
        <f>VLOOKUP(Table1[[#This Row],[Grade Level]],'Simple Salary Structure'!$B$7:$I$16,6,0)</f>
        <v>5000</v>
      </c>
      <c r="K60" s="12">
        <f>VLOOKUP(Table1[[#This Row],[Grade Level]],'Simple Salary Structure'!$B$7:$I$16,7,0)</f>
        <v>10000</v>
      </c>
      <c r="L60" s="12">
        <f>VLOOKUP(Table1[[#This Row],[Grade Level]],'Simple Salary Structure'!$B$7:$I$16,8,0)</f>
        <v>717012.6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7.25" customHeight="1" x14ac:dyDescent="0.25">
      <c r="A61" s="10">
        <v>53</v>
      </c>
      <c r="B61" s="11" t="s">
        <v>132</v>
      </c>
      <c r="C61" s="10" t="s">
        <v>133</v>
      </c>
      <c r="D61" s="10" t="s">
        <v>28</v>
      </c>
      <c r="E61" s="10" t="s">
        <v>62</v>
      </c>
      <c r="F61" s="12">
        <f>VLOOKUP(Table1[[#This Row],[Grade Level]],'Simple Salary Structure'!$B$7:$I$16,2,0)</f>
        <v>495507</v>
      </c>
      <c r="G61" s="12">
        <f>VLOOKUP(Table1[[#This Row],[Grade Level]],'Simple Salary Structure'!$B$7:$I$16,3,0)</f>
        <v>150000</v>
      </c>
      <c r="H61" s="12">
        <f>VLOOKUP(Table1[[#This Row],[Grade Level]],'Simple Salary Structure'!$B$8:$I$16,4,0)</f>
        <v>20000</v>
      </c>
      <c r="I61" s="12">
        <f>VLOOKUP(Table1[[#This Row],[Grade Level]],'Simple Salary Structure'!$B$7:$I$16,5,0)</f>
        <v>49550.700000000004</v>
      </c>
      <c r="J61" s="12">
        <f>VLOOKUP(Table1[[#This Row],[Grade Level]],'Simple Salary Structure'!$B$7:$I$16,6,0)</f>
        <v>5000</v>
      </c>
      <c r="K61" s="12">
        <f>VLOOKUP(Table1[[#This Row],[Grade Level]],'Simple Salary Structure'!$B$7:$I$16,7,0)</f>
        <v>10000</v>
      </c>
      <c r="L61" s="12">
        <f>VLOOKUP(Table1[[#This Row],[Grade Level]],'Simple Salary Structure'!$B$7:$I$16,8,0)</f>
        <v>730060.7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7.25" customHeight="1" x14ac:dyDescent="0.25">
      <c r="A62" s="10">
        <v>54</v>
      </c>
      <c r="B62" s="11" t="s">
        <v>134</v>
      </c>
      <c r="C62" s="10" t="s">
        <v>135</v>
      </c>
      <c r="D62" s="10" t="s">
        <v>25</v>
      </c>
      <c r="E62" s="10" t="s">
        <v>32</v>
      </c>
      <c r="F62" s="12">
        <f>VLOOKUP(Table1[[#This Row],[Grade Level]],'Simple Salary Structure'!$B$7:$I$16,2,0)</f>
        <v>550208</v>
      </c>
      <c r="G62" s="12">
        <f>VLOOKUP(Table1[[#This Row],[Grade Level]],'Simple Salary Structure'!$B$7:$I$16,3,0)</f>
        <v>150000</v>
      </c>
      <c r="H62" s="12">
        <f>VLOOKUP(Table1[[#This Row],[Grade Level]],'Simple Salary Structure'!$B$8:$I$16,4,0)</f>
        <v>20000</v>
      </c>
      <c r="I62" s="12">
        <f>VLOOKUP(Table1[[#This Row],[Grade Level]],'Simple Salary Structure'!$B$7:$I$16,5,0)</f>
        <v>55020.800000000003</v>
      </c>
      <c r="J62" s="12">
        <f>VLOOKUP(Table1[[#This Row],[Grade Level]],'Simple Salary Structure'!$B$7:$I$16,6,0)</f>
        <v>5000</v>
      </c>
      <c r="K62" s="12">
        <f>VLOOKUP(Table1[[#This Row],[Grade Level]],'Simple Salary Structure'!$B$7:$I$16,7,0)</f>
        <v>10000</v>
      </c>
      <c r="L62" s="12">
        <f>VLOOKUP(Table1[[#This Row],[Grade Level]],'Simple Salary Structure'!$B$7:$I$16,8,0)</f>
        <v>790232.8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7.25" customHeight="1" x14ac:dyDescent="0.25">
      <c r="A63" s="10">
        <v>55</v>
      </c>
      <c r="B63" s="11" t="s">
        <v>136</v>
      </c>
      <c r="C63" s="10" t="s">
        <v>137</v>
      </c>
      <c r="D63" s="10" t="s">
        <v>21</v>
      </c>
      <c r="E63" s="10" t="s">
        <v>18</v>
      </c>
      <c r="F63" s="12">
        <f>VLOOKUP(Table1[[#This Row],[Grade Level]],'Simple Salary Structure'!$B$7:$I$16,2,0)</f>
        <v>483646</v>
      </c>
      <c r="G63" s="12">
        <f>VLOOKUP(Table1[[#This Row],[Grade Level]],'Simple Salary Structure'!$B$7:$I$16,3,0)</f>
        <v>150000</v>
      </c>
      <c r="H63" s="12">
        <f>VLOOKUP(Table1[[#This Row],[Grade Level]],'Simple Salary Structure'!$B$8:$I$16,4,0)</f>
        <v>20000</v>
      </c>
      <c r="I63" s="12">
        <f>VLOOKUP(Table1[[#This Row],[Grade Level]],'Simple Salary Structure'!$B$7:$I$16,5,0)</f>
        <v>48364.600000000006</v>
      </c>
      <c r="J63" s="12">
        <f>VLOOKUP(Table1[[#This Row],[Grade Level]],'Simple Salary Structure'!$B$7:$I$16,6,0)</f>
        <v>5000</v>
      </c>
      <c r="K63" s="12">
        <f>VLOOKUP(Table1[[#This Row],[Grade Level]],'Simple Salary Structure'!$B$7:$I$16,7,0)</f>
        <v>10000</v>
      </c>
      <c r="L63" s="12">
        <f>VLOOKUP(Table1[[#This Row],[Grade Level]],'Simple Salary Structure'!$B$7:$I$16,8,0)</f>
        <v>717012.6</v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7.25" customHeight="1" x14ac:dyDescent="0.25">
      <c r="A64" s="10">
        <v>56</v>
      </c>
      <c r="B64" s="11" t="s">
        <v>138</v>
      </c>
      <c r="C64" s="10" t="s">
        <v>139</v>
      </c>
      <c r="D64" s="10" t="s">
        <v>25</v>
      </c>
      <c r="E64" s="10" t="s">
        <v>40</v>
      </c>
      <c r="F64" s="12">
        <f>VLOOKUP(Table1[[#This Row],[Grade Level]],'Simple Salary Structure'!$B$7:$I$16,2,0)</f>
        <v>918468</v>
      </c>
      <c r="G64" s="12">
        <f>VLOOKUP(Table1[[#This Row],[Grade Level]],'Simple Salary Structure'!$B$7:$I$16,3,0)</f>
        <v>150000</v>
      </c>
      <c r="H64" s="12">
        <f>VLOOKUP(Table1[[#This Row],[Grade Level]],'Simple Salary Structure'!$B$8:$I$16,4,0)</f>
        <v>20000</v>
      </c>
      <c r="I64" s="12">
        <f>VLOOKUP(Table1[[#This Row],[Grade Level]],'Simple Salary Structure'!$B$7:$I$16,5,0)</f>
        <v>91846.8</v>
      </c>
      <c r="J64" s="12">
        <f>VLOOKUP(Table1[[#This Row],[Grade Level]],'Simple Salary Structure'!$B$7:$I$16,6,0)</f>
        <v>5000</v>
      </c>
      <c r="K64" s="12">
        <f>VLOOKUP(Table1[[#This Row],[Grade Level]],'Simple Salary Structure'!$B$7:$I$16,7,0)</f>
        <v>10000</v>
      </c>
      <c r="L64" s="12">
        <f>VLOOKUP(Table1[[#This Row],[Grade Level]],'Simple Salary Structure'!$B$7:$I$16,8,0)</f>
        <v>1195321.8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7.25" customHeight="1" x14ac:dyDescent="0.25">
      <c r="A65" s="10">
        <v>57</v>
      </c>
      <c r="B65" s="11" t="s">
        <v>140</v>
      </c>
      <c r="C65" s="10" t="s">
        <v>141</v>
      </c>
      <c r="D65" s="10" t="s">
        <v>25</v>
      </c>
      <c r="E65" s="10" t="s">
        <v>22</v>
      </c>
      <c r="F65" s="12">
        <f>VLOOKUP(Table1[[#This Row],[Grade Level]],'Simple Salary Structure'!$B$7:$I$16,2,0)</f>
        <v>415159</v>
      </c>
      <c r="G65" s="12">
        <f>VLOOKUP(Table1[[#This Row],[Grade Level]],'Simple Salary Structure'!$B$7:$I$16,3,0)</f>
        <v>150000</v>
      </c>
      <c r="H65" s="12">
        <f>VLOOKUP(Table1[[#This Row],[Grade Level]],'Simple Salary Structure'!$B$8:$I$16,4,0)</f>
        <v>20000</v>
      </c>
      <c r="I65" s="12">
        <f>VLOOKUP(Table1[[#This Row],[Grade Level]],'Simple Salary Structure'!$B$7:$I$16,5,0)</f>
        <v>41515.9</v>
      </c>
      <c r="J65" s="12">
        <f>VLOOKUP(Table1[[#This Row],[Grade Level]],'Simple Salary Structure'!$B$7:$I$16,6,0)</f>
        <v>5000</v>
      </c>
      <c r="K65" s="12">
        <f>VLOOKUP(Table1[[#This Row],[Grade Level]],'Simple Salary Structure'!$B$7:$I$16,7,0)</f>
        <v>10000</v>
      </c>
      <c r="L65" s="12">
        <f>VLOOKUP(Table1[[#This Row],[Grade Level]],'Simple Salary Structure'!$B$7:$I$16,8,0)</f>
        <v>641675.9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7.25" customHeight="1" x14ac:dyDescent="0.25">
      <c r="A66" s="10">
        <v>58</v>
      </c>
      <c r="B66" s="11" t="s">
        <v>142</v>
      </c>
      <c r="C66" s="10" t="s">
        <v>143</v>
      </c>
      <c r="D66" s="10" t="s">
        <v>28</v>
      </c>
      <c r="E66" s="10" t="s">
        <v>18</v>
      </c>
      <c r="F66" s="12">
        <f>VLOOKUP(Table1[[#This Row],[Grade Level]],'Simple Salary Structure'!$B$7:$I$16,2,0)</f>
        <v>483646</v>
      </c>
      <c r="G66" s="12">
        <f>VLOOKUP(Table1[[#This Row],[Grade Level]],'Simple Salary Structure'!$B$7:$I$16,3,0)</f>
        <v>150000</v>
      </c>
      <c r="H66" s="12">
        <f>VLOOKUP(Table1[[#This Row],[Grade Level]],'Simple Salary Structure'!$B$8:$I$16,4,0)</f>
        <v>20000</v>
      </c>
      <c r="I66" s="12">
        <f>VLOOKUP(Table1[[#This Row],[Grade Level]],'Simple Salary Structure'!$B$7:$I$16,5,0)</f>
        <v>48364.600000000006</v>
      </c>
      <c r="J66" s="12">
        <f>VLOOKUP(Table1[[#This Row],[Grade Level]],'Simple Salary Structure'!$B$7:$I$16,6,0)</f>
        <v>5000</v>
      </c>
      <c r="K66" s="12">
        <f>VLOOKUP(Table1[[#This Row],[Grade Level]],'Simple Salary Structure'!$B$7:$I$16,7,0)</f>
        <v>10000</v>
      </c>
      <c r="L66" s="12">
        <f>VLOOKUP(Table1[[#This Row],[Grade Level]],'Simple Salary Structure'!$B$7:$I$16,8,0)</f>
        <v>717012.6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7.25" customHeight="1" x14ac:dyDescent="0.25">
      <c r="A67" s="10">
        <v>59</v>
      </c>
      <c r="B67" s="11" t="s">
        <v>144</v>
      </c>
      <c r="C67" s="10" t="s">
        <v>145</v>
      </c>
      <c r="D67" s="10" t="s">
        <v>25</v>
      </c>
      <c r="E67" s="10" t="s">
        <v>62</v>
      </c>
      <c r="F67" s="12">
        <f>VLOOKUP(Table1[[#This Row],[Grade Level]],'Simple Salary Structure'!$B$7:$I$16,2,0)</f>
        <v>495507</v>
      </c>
      <c r="G67" s="12">
        <f>VLOOKUP(Table1[[#This Row],[Grade Level]],'Simple Salary Structure'!$B$7:$I$16,3,0)</f>
        <v>150000</v>
      </c>
      <c r="H67" s="12">
        <f>VLOOKUP(Table1[[#This Row],[Grade Level]],'Simple Salary Structure'!$B$8:$I$16,4,0)</f>
        <v>20000</v>
      </c>
      <c r="I67" s="12">
        <f>VLOOKUP(Table1[[#This Row],[Grade Level]],'Simple Salary Structure'!$B$7:$I$16,5,0)</f>
        <v>49550.700000000004</v>
      </c>
      <c r="J67" s="12">
        <f>VLOOKUP(Table1[[#This Row],[Grade Level]],'Simple Salary Structure'!$B$7:$I$16,6,0)</f>
        <v>5000</v>
      </c>
      <c r="K67" s="12">
        <f>VLOOKUP(Table1[[#This Row],[Grade Level]],'Simple Salary Structure'!$B$7:$I$16,7,0)</f>
        <v>10000</v>
      </c>
      <c r="L67" s="12">
        <f>VLOOKUP(Table1[[#This Row],[Grade Level]],'Simple Salary Structure'!$B$7:$I$16,8,0)</f>
        <v>730060.7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7.25" customHeight="1" x14ac:dyDescent="0.25">
      <c r="A68" s="10">
        <v>60</v>
      </c>
      <c r="B68" s="11" t="s">
        <v>146</v>
      </c>
      <c r="C68" s="10" t="s">
        <v>147</v>
      </c>
      <c r="D68" s="10" t="s">
        <v>25</v>
      </c>
      <c r="E68" s="10" t="s">
        <v>32</v>
      </c>
      <c r="F68" s="12">
        <f>VLOOKUP(Table1[[#This Row],[Grade Level]],'Simple Salary Structure'!$B$7:$I$16,2,0)</f>
        <v>550208</v>
      </c>
      <c r="G68" s="12">
        <f>VLOOKUP(Table1[[#This Row],[Grade Level]],'Simple Salary Structure'!$B$7:$I$16,3,0)</f>
        <v>150000</v>
      </c>
      <c r="H68" s="12">
        <f>VLOOKUP(Table1[[#This Row],[Grade Level]],'Simple Salary Structure'!$B$8:$I$16,4,0)</f>
        <v>20000</v>
      </c>
      <c r="I68" s="12">
        <f>VLOOKUP(Table1[[#This Row],[Grade Level]],'Simple Salary Structure'!$B$7:$I$16,5,0)</f>
        <v>55020.800000000003</v>
      </c>
      <c r="J68" s="12">
        <f>VLOOKUP(Table1[[#This Row],[Grade Level]],'Simple Salary Structure'!$B$7:$I$16,6,0)</f>
        <v>5000</v>
      </c>
      <c r="K68" s="12">
        <f>VLOOKUP(Table1[[#This Row],[Grade Level]],'Simple Salary Structure'!$B$7:$I$16,7,0)</f>
        <v>10000</v>
      </c>
      <c r="L68" s="12">
        <f>VLOOKUP(Table1[[#This Row],[Grade Level]],'Simple Salary Structure'!$B$7:$I$16,8,0)</f>
        <v>790232.8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7.25" customHeight="1" x14ac:dyDescent="0.25">
      <c r="A69" s="10">
        <v>61</v>
      </c>
      <c r="B69" s="11" t="s">
        <v>148</v>
      </c>
      <c r="C69" s="10" t="s">
        <v>149</v>
      </c>
      <c r="D69" s="10" t="s">
        <v>25</v>
      </c>
      <c r="E69" s="10" t="s">
        <v>22</v>
      </c>
      <c r="F69" s="12">
        <f>VLOOKUP(Table1[[#This Row],[Grade Level]],'Simple Salary Structure'!$B$7:$I$16,2,0)</f>
        <v>415159</v>
      </c>
      <c r="G69" s="12">
        <f>VLOOKUP(Table1[[#This Row],[Grade Level]],'Simple Salary Structure'!$B$7:$I$16,3,0)</f>
        <v>150000</v>
      </c>
      <c r="H69" s="12">
        <f>VLOOKUP(Table1[[#This Row],[Grade Level]],'Simple Salary Structure'!$B$8:$I$16,4,0)</f>
        <v>20000</v>
      </c>
      <c r="I69" s="12">
        <f>VLOOKUP(Table1[[#This Row],[Grade Level]],'Simple Salary Structure'!$B$7:$I$16,5,0)</f>
        <v>41515.9</v>
      </c>
      <c r="J69" s="12">
        <f>VLOOKUP(Table1[[#This Row],[Grade Level]],'Simple Salary Structure'!$B$7:$I$16,6,0)</f>
        <v>5000</v>
      </c>
      <c r="K69" s="12">
        <f>VLOOKUP(Table1[[#This Row],[Grade Level]],'Simple Salary Structure'!$B$7:$I$16,7,0)</f>
        <v>10000</v>
      </c>
      <c r="L69" s="12">
        <f>VLOOKUP(Table1[[#This Row],[Grade Level]],'Simple Salary Structure'!$B$7:$I$16,8,0)</f>
        <v>641675.9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7.25" customHeight="1" x14ac:dyDescent="0.25">
      <c r="A70" s="10">
        <v>62</v>
      </c>
      <c r="B70" s="11" t="s">
        <v>150</v>
      </c>
      <c r="C70" s="10" t="s">
        <v>151</v>
      </c>
      <c r="D70" s="10" t="s">
        <v>17</v>
      </c>
      <c r="E70" s="10" t="s">
        <v>67</v>
      </c>
      <c r="F70" s="12">
        <f>VLOOKUP(Table1[[#This Row],[Grade Level]],'Simple Salary Structure'!$B$7:$I$16,2,0)</f>
        <v>310648</v>
      </c>
      <c r="G70" s="12">
        <f>VLOOKUP(Table1[[#This Row],[Grade Level]],'Simple Salary Structure'!$B$7:$I$16,3,0)</f>
        <v>150000</v>
      </c>
      <c r="H70" s="12">
        <f>VLOOKUP(Table1[[#This Row],[Grade Level]],'Simple Salary Structure'!$B$8:$I$16,4,0)</f>
        <v>20000</v>
      </c>
      <c r="I70" s="12">
        <f>VLOOKUP(Table1[[#This Row],[Grade Level]],'Simple Salary Structure'!$B$7:$I$16,5,0)</f>
        <v>31064.800000000003</v>
      </c>
      <c r="J70" s="12">
        <f>VLOOKUP(Table1[[#This Row],[Grade Level]],'Simple Salary Structure'!$B$7:$I$16,6,0)</f>
        <v>5000</v>
      </c>
      <c r="K70" s="12">
        <f>VLOOKUP(Table1[[#This Row],[Grade Level]],'Simple Salary Structure'!$B$7:$I$16,7,0)</f>
        <v>10000</v>
      </c>
      <c r="L70" s="12">
        <f>VLOOKUP(Table1[[#This Row],[Grade Level]],'Simple Salary Structure'!$B$7:$I$16,8,0)</f>
        <v>526712.80000000005</v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7.25" customHeight="1" x14ac:dyDescent="0.25">
      <c r="A71" s="10">
        <v>63</v>
      </c>
      <c r="B71" s="11" t="s">
        <v>152</v>
      </c>
      <c r="C71" s="10" t="s">
        <v>153</v>
      </c>
      <c r="D71" s="10" t="s">
        <v>21</v>
      </c>
      <c r="E71" s="10" t="s">
        <v>22</v>
      </c>
      <c r="F71" s="12">
        <f>VLOOKUP(Table1[[#This Row],[Grade Level]],'Simple Salary Structure'!$B$7:$I$16,2,0)</f>
        <v>415159</v>
      </c>
      <c r="G71" s="12">
        <f>VLOOKUP(Table1[[#This Row],[Grade Level]],'Simple Salary Structure'!$B$7:$I$16,3,0)</f>
        <v>150000</v>
      </c>
      <c r="H71" s="12">
        <f>VLOOKUP(Table1[[#This Row],[Grade Level]],'Simple Salary Structure'!$B$8:$I$16,4,0)</f>
        <v>20000</v>
      </c>
      <c r="I71" s="12">
        <f>VLOOKUP(Table1[[#This Row],[Grade Level]],'Simple Salary Structure'!$B$7:$I$16,5,0)</f>
        <v>41515.9</v>
      </c>
      <c r="J71" s="12">
        <f>VLOOKUP(Table1[[#This Row],[Grade Level]],'Simple Salary Structure'!$B$7:$I$16,6,0)</f>
        <v>5000</v>
      </c>
      <c r="K71" s="12">
        <f>VLOOKUP(Table1[[#This Row],[Grade Level]],'Simple Salary Structure'!$B$7:$I$16,7,0)</f>
        <v>10000</v>
      </c>
      <c r="L71" s="12">
        <f>VLOOKUP(Table1[[#This Row],[Grade Level]],'Simple Salary Structure'!$B$7:$I$16,8,0)</f>
        <v>641675.9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7.25" customHeight="1" x14ac:dyDescent="0.25">
      <c r="A72" s="10">
        <v>64</v>
      </c>
      <c r="B72" s="11" t="s">
        <v>154</v>
      </c>
      <c r="C72" s="10" t="s">
        <v>155</v>
      </c>
      <c r="D72" s="10" t="s">
        <v>17</v>
      </c>
      <c r="E72" s="10" t="s">
        <v>32</v>
      </c>
      <c r="F72" s="12">
        <f>VLOOKUP(Table1[[#This Row],[Grade Level]],'Simple Salary Structure'!$B$7:$I$16,2,0)</f>
        <v>550208</v>
      </c>
      <c r="G72" s="12">
        <f>VLOOKUP(Table1[[#This Row],[Grade Level]],'Simple Salary Structure'!$B$7:$I$16,3,0)</f>
        <v>150000</v>
      </c>
      <c r="H72" s="12">
        <f>VLOOKUP(Table1[[#This Row],[Grade Level]],'Simple Salary Structure'!$B$8:$I$16,4,0)</f>
        <v>20000</v>
      </c>
      <c r="I72" s="12">
        <f>VLOOKUP(Table1[[#This Row],[Grade Level]],'Simple Salary Structure'!$B$7:$I$16,5,0)</f>
        <v>55020.800000000003</v>
      </c>
      <c r="J72" s="12">
        <f>VLOOKUP(Table1[[#This Row],[Grade Level]],'Simple Salary Structure'!$B$7:$I$16,6,0)</f>
        <v>5000</v>
      </c>
      <c r="K72" s="12">
        <f>VLOOKUP(Table1[[#This Row],[Grade Level]],'Simple Salary Structure'!$B$7:$I$16,7,0)</f>
        <v>10000</v>
      </c>
      <c r="L72" s="12">
        <f>VLOOKUP(Table1[[#This Row],[Grade Level]],'Simple Salary Structure'!$B$7:$I$16,8,0)</f>
        <v>790232.8</v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7.25" customHeight="1" x14ac:dyDescent="0.25">
      <c r="A73" s="10">
        <v>65</v>
      </c>
      <c r="B73" s="11" t="s">
        <v>156</v>
      </c>
      <c r="C73" s="10" t="s">
        <v>157</v>
      </c>
      <c r="D73" s="10" t="s">
        <v>25</v>
      </c>
      <c r="E73" s="10" t="s">
        <v>22</v>
      </c>
      <c r="F73" s="12">
        <f>VLOOKUP(Table1[[#This Row],[Grade Level]],'Simple Salary Structure'!$B$7:$I$16,2,0)</f>
        <v>415159</v>
      </c>
      <c r="G73" s="12">
        <f>VLOOKUP(Table1[[#This Row],[Grade Level]],'Simple Salary Structure'!$B$7:$I$16,3,0)</f>
        <v>150000</v>
      </c>
      <c r="H73" s="12">
        <f>VLOOKUP(Table1[[#This Row],[Grade Level]],'Simple Salary Structure'!$B$8:$I$16,4,0)</f>
        <v>20000</v>
      </c>
      <c r="I73" s="12">
        <f>VLOOKUP(Table1[[#This Row],[Grade Level]],'Simple Salary Structure'!$B$7:$I$16,5,0)</f>
        <v>41515.9</v>
      </c>
      <c r="J73" s="12">
        <f>VLOOKUP(Table1[[#This Row],[Grade Level]],'Simple Salary Structure'!$B$7:$I$16,6,0)</f>
        <v>5000</v>
      </c>
      <c r="K73" s="12">
        <f>VLOOKUP(Table1[[#This Row],[Grade Level]],'Simple Salary Structure'!$B$7:$I$16,7,0)</f>
        <v>10000</v>
      </c>
      <c r="L73" s="12">
        <f>VLOOKUP(Table1[[#This Row],[Grade Level]],'Simple Salary Structure'!$B$7:$I$16,8,0)</f>
        <v>641675.9</v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7.25" customHeight="1" x14ac:dyDescent="0.25">
      <c r="A74" s="10">
        <v>66</v>
      </c>
      <c r="B74" s="11" t="s">
        <v>158</v>
      </c>
      <c r="C74" s="10" t="s">
        <v>159</v>
      </c>
      <c r="D74" s="10" t="s">
        <v>25</v>
      </c>
      <c r="E74" s="10" t="s">
        <v>67</v>
      </c>
      <c r="F74" s="12">
        <f>VLOOKUP(Table1[[#This Row],[Grade Level]],'Simple Salary Structure'!$B$7:$I$16,2,0)</f>
        <v>310648</v>
      </c>
      <c r="G74" s="12">
        <f>VLOOKUP(Table1[[#This Row],[Grade Level]],'Simple Salary Structure'!$B$7:$I$16,3,0)</f>
        <v>150000</v>
      </c>
      <c r="H74" s="12">
        <f>VLOOKUP(Table1[[#This Row],[Grade Level]],'Simple Salary Structure'!$B$8:$I$16,4,0)</f>
        <v>20000</v>
      </c>
      <c r="I74" s="12">
        <f>VLOOKUP(Table1[[#This Row],[Grade Level]],'Simple Salary Structure'!$B$7:$I$16,5,0)</f>
        <v>31064.800000000003</v>
      </c>
      <c r="J74" s="12">
        <f>VLOOKUP(Table1[[#This Row],[Grade Level]],'Simple Salary Structure'!$B$7:$I$16,6,0)</f>
        <v>5000</v>
      </c>
      <c r="K74" s="12">
        <f>VLOOKUP(Table1[[#This Row],[Grade Level]],'Simple Salary Structure'!$B$7:$I$16,7,0)</f>
        <v>10000</v>
      </c>
      <c r="L74" s="12">
        <f>VLOOKUP(Table1[[#This Row],[Grade Level]],'Simple Salary Structure'!$B$7:$I$16,8,0)</f>
        <v>526712.80000000005</v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7.25" customHeight="1" x14ac:dyDescent="0.25">
      <c r="A75" s="10">
        <v>67</v>
      </c>
      <c r="B75" s="11" t="s">
        <v>160</v>
      </c>
      <c r="C75" s="10" t="s">
        <v>161</v>
      </c>
      <c r="D75" s="10" t="s">
        <v>25</v>
      </c>
      <c r="E75" s="10" t="s">
        <v>22</v>
      </c>
      <c r="F75" s="12">
        <f>VLOOKUP(Table1[[#This Row],[Grade Level]],'Simple Salary Structure'!$B$7:$I$16,2,0)</f>
        <v>415159</v>
      </c>
      <c r="G75" s="12">
        <f>VLOOKUP(Table1[[#This Row],[Grade Level]],'Simple Salary Structure'!$B$7:$I$16,3,0)</f>
        <v>150000</v>
      </c>
      <c r="H75" s="12">
        <f>VLOOKUP(Table1[[#This Row],[Grade Level]],'Simple Salary Structure'!$B$8:$I$16,4,0)</f>
        <v>20000</v>
      </c>
      <c r="I75" s="12">
        <f>VLOOKUP(Table1[[#This Row],[Grade Level]],'Simple Salary Structure'!$B$7:$I$16,5,0)</f>
        <v>41515.9</v>
      </c>
      <c r="J75" s="12">
        <f>VLOOKUP(Table1[[#This Row],[Grade Level]],'Simple Salary Structure'!$B$7:$I$16,6,0)</f>
        <v>5000</v>
      </c>
      <c r="K75" s="12">
        <f>VLOOKUP(Table1[[#This Row],[Grade Level]],'Simple Salary Structure'!$B$7:$I$16,7,0)</f>
        <v>10000</v>
      </c>
      <c r="L75" s="12">
        <f>VLOOKUP(Table1[[#This Row],[Grade Level]],'Simple Salary Structure'!$B$7:$I$16,8,0)</f>
        <v>641675.9</v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7.25" customHeight="1" x14ac:dyDescent="0.25">
      <c r="A76" s="10">
        <v>68</v>
      </c>
      <c r="B76" s="11" t="s">
        <v>162</v>
      </c>
      <c r="C76" s="10" t="s">
        <v>163</v>
      </c>
      <c r="D76" s="10" t="s">
        <v>28</v>
      </c>
      <c r="E76" s="10" t="s">
        <v>29</v>
      </c>
      <c r="F76" s="12">
        <f>VLOOKUP(Table1[[#This Row],[Grade Level]],'Simple Salary Structure'!$B$7:$I$16,2,0)</f>
        <v>685899</v>
      </c>
      <c r="G76" s="12">
        <f>VLOOKUP(Table1[[#This Row],[Grade Level]],'Simple Salary Structure'!$B$7:$I$16,3,0)</f>
        <v>150000</v>
      </c>
      <c r="H76" s="12">
        <f>VLOOKUP(Table1[[#This Row],[Grade Level]],'Simple Salary Structure'!$B$8:$I$16,4,0)</f>
        <v>20000</v>
      </c>
      <c r="I76" s="12">
        <f>VLOOKUP(Table1[[#This Row],[Grade Level]],'Simple Salary Structure'!$B$7:$I$16,5,0)</f>
        <v>68589.900000000009</v>
      </c>
      <c r="J76" s="12">
        <f>VLOOKUP(Table1[[#This Row],[Grade Level]],'Simple Salary Structure'!$B$7:$I$16,6,0)</f>
        <v>5000</v>
      </c>
      <c r="K76" s="12">
        <f>VLOOKUP(Table1[[#This Row],[Grade Level]],'Simple Salary Structure'!$B$7:$I$16,7,0)</f>
        <v>10000</v>
      </c>
      <c r="L76" s="12">
        <f>VLOOKUP(Table1[[#This Row],[Grade Level]],'Simple Salary Structure'!$B$7:$I$16,8,0)</f>
        <v>939493.9</v>
      </c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7.25" customHeight="1" x14ac:dyDescent="0.25">
      <c r="A77" s="10">
        <v>69</v>
      </c>
      <c r="B77" s="11" t="s">
        <v>164</v>
      </c>
      <c r="C77" s="10" t="s">
        <v>165</v>
      </c>
      <c r="D77" s="10" t="s">
        <v>17</v>
      </c>
      <c r="E77" s="10" t="s">
        <v>37</v>
      </c>
      <c r="F77" s="12">
        <f>VLOOKUP(Table1[[#This Row],[Grade Level]],'Simple Salary Structure'!$B$7:$I$16,2,0)</f>
        <v>810490</v>
      </c>
      <c r="G77" s="12">
        <f>VLOOKUP(Table1[[#This Row],[Grade Level]],'Simple Salary Structure'!$B$7:$I$16,3,0)</f>
        <v>150000</v>
      </c>
      <c r="H77" s="12">
        <f>VLOOKUP(Table1[[#This Row],[Grade Level]],'Simple Salary Structure'!$B$8:$I$16,4,0)</f>
        <v>20000</v>
      </c>
      <c r="I77" s="12">
        <f>VLOOKUP(Table1[[#This Row],[Grade Level]],'Simple Salary Structure'!$B$7:$I$16,5,0)</f>
        <v>81049</v>
      </c>
      <c r="J77" s="12">
        <f>VLOOKUP(Table1[[#This Row],[Grade Level]],'Simple Salary Structure'!$B$7:$I$16,6,0)</f>
        <v>5000</v>
      </c>
      <c r="K77" s="12">
        <f>VLOOKUP(Table1[[#This Row],[Grade Level]],'Simple Salary Structure'!$B$7:$I$16,7,0)</f>
        <v>10000</v>
      </c>
      <c r="L77" s="12">
        <f>VLOOKUP(Table1[[#This Row],[Grade Level]],'Simple Salary Structure'!$B$7:$I$16,8,0)</f>
        <v>1076545</v>
      </c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7.25" customHeight="1" x14ac:dyDescent="0.25">
      <c r="A78" s="10">
        <v>70</v>
      </c>
      <c r="B78" s="11" t="s">
        <v>166</v>
      </c>
      <c r="C78" s="10" t="s">
        <v>167</v>
      </c>
      <c r="D78" s="10" t="s">
        <v>28</v>
      </c>
      <c r="E78" s="10" t="s">
        <v>40</v>
      </c>
      <c r="F78" s="12">
        <f>VLOOKUP(Table1[[#This Row],[Grade Level]],'Simple Salary Structure'!$B$7:$I$16,2,0)</f>
        <v>918468</v>
      </c>
      <c r="G78" s="12">
        <f>VLOOKUP(Table1[[#This Row],[Grade Level]],'Simple Salary Structure'!$B$7:$I$16,3,0)</f>
        <v>150000</v>
      </c>
      <c r="H78" s="12">
        <f>VLOOKUP(Table1[[#This Row],[Grade Level]],'Simple Salary Structure'!$B$8:$I$16,4,0)</f>
        <v>20000</v>
      </c>
      <c r="I78" s="12">
        <f>VLOOKUP(Table1[[#This Row],[Grade Level]],'Simple Salary Structure'!$B$7:$I$16,5,0)</f>
        <v>91846.8</v>
      </c>
      <c r="J78" s="12">
        <f>VLOOKUP(Table1[[#This Row],[Grade Level]],'Simple Salary Structure'!$B$7:$I$16,6,0)</f>
        <v>5000</v>
      </c>
      <c r="K78" s="12">
        <f>VLOOKUP(Table1[[#This Row],[Grade Level]],'Simple Salary Structure'!$B$7:$I$16,7,0)</f>
        <v>10000</v>
      </c>
      <c r="L78" s="12">
        <f>VLOOKUP(Table1[[#This Row],[Grade Level]],'Simple Salary Structure'!$B$7:$I$16,8,0)</f>
        <v>1195321.8</v>
      </c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7.25" customHeight="1" x14ac:dyDescent="0.25">
      <c r="A79" s="10">
        <v>71</v>
      </c>
      <c r="B79" s="11" t="s">
        <v>168</v>
      </c>
      <c r="C79" s="10" t="s">
        <v>169</v>
      </c>
      <c r="D79" s="10" t="s">
        <v>21</v>
      </c>
      <c r="E79" s="10" t="s">
        <v>18</v>
      </c>
      <c r="F79" s="12">
        <f>VLOOKUP(Table1[[#This Row],[Grade Level]],'Simple Salary Structure'!$B$7:$I$16,2,0)</f>
        <v>483646</v>
      </c>
      <c r="G79" s="12">
        <f>VLOOKUP(Table1[[#This Row],[Grade Level]],'Simple Salary Structure'!$B$7:$I$16,3,0)</f>
        <v>150000</v>
      </c>
      <c r="H79" s="12">
        <f>VLOOKUP(Table1[[#This Row],[Grade Level]],'Simple Salary Structure'!$B$8:$I$16,4,0)</f>
        <v>20000</v>
      </c>
      <c r="I79" s="12">
        <f>VLOOKUP(Table1[[#This Row],[Grade Level]],'Simple Salary Structure'!$B$7:$I$16,5,0)</f>
        <v>48364.600000000006</v>
      </c>
      <c r="J79" s="12">
        <f>VLOOKUP(Table1[[#This Row],[Grade Level]],'Simple Salary Structure'!$B$7:$I$16,6,0)</f>
        <v>5000</v>
      </c>
      <c r="K79" s="12">
        <f>VLOOKUP(Table1[[#This Row],[Grade Level]],'Simple Salary Structure'!$B$7:$I$16,7,0)</f>
        <v>10000</v>
      </c>
      <c r="L79" s="12">
        <f>VLOOKUP(Table1[[#This Row],[Grade Level]],'Simple Salary Structure'!$B$7:$I$16,8,0)</f>
        <v>717012.6</v>
      </c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7.25" customHeight="1" x14ac:dyDescent="0.25">
      <c r="A80" s="10">
        <v>72</v>
      </c>
      <c r="B80" s="11" t="s">
        <v>170</v>
      </c>
      <c r="C80" s="10" t="s">
        <v>171</v>
      </c>
      <c r="D80" s="10" t="s">
        <v>17</v>
      </c>
      <c r="E80" s="10" t="s">
        <v>18</v>
      </c>
      <c r="F80" s="12">
        <f>VLOOKUP(Table1[[#This Row],[Grade Level]],'Simple Salary Structure'!$B$7:$I$16,2,0)</f>
        <v>483646</v>
      </c>
      <c r="G80" s="12">
        <f>VLOOKUP(Table1[[#This Row],[Grade Level]],'Simple Salary Structure'!$B$7:$I$16,3,0)</f>
        <v>150000</v>
      </c>
      <c r="H80" s="12">
        <f>VLOOKUP(Table1[[#This Row],[Grade Level]],'Simple Salary Structure'!$B$8:$I$16,4,0)</f>
        <v>20000</v>
      </c>
      <c r="I80" s="12">
        <f>VLOOKUP(Table1[[#This Row],[Grade Level]],'Simple Salary Structure'!$B$7:$I$16,5,0)</f>
        <v>48364.600000000006</v>
      </c>
      <c r="J80" s="12">
        <f>VLOOKUP(Table1[[#This Row],[Grade Level]],'Simple Salary Structure'!$B$7:$I$16,6,0)</f>
        <v>5000</v>
      </c>
      <c r="K80" s="12">
        <f>VLOOKUP(Table1[[#This Row],[Grade Level]],'Simple Salary Structure'!$B$7:$I$16,7,0)</f>
        <v>10000</v>
      </c>
      <c r="L80" s="12">
        <f>VLOOKUP(Table1[[#This Row],[Grade Level]],'Simple Salary Structure'!$B$7:$I$16,8,0)</f>
        <v>717012.6</v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7.25" customHeight="1" x14ac:dyDescent="0.25">
      <c r="A81" s="10">
        <v>73</v>
      </c>
      <c r="B81" s="11" t="s">
        <v>172</v>
      </c>
      <c r="C81" s="10" t="s">
        <v>173</v>
      </c>
      <c r="D81" s="10" t="s">
        <v>21</v>
      </c>
      <c r="E81" s="10" t="s">
        <v>18</v>
      </c>
      <c r="F81" s="12">
        <f>VLOOKUP(Table1[[#This Row],[Grade Level]],'Simple Salary Structure'!$B$7:$I$16,2,0)</f>
        <v>483646</v>
      </c>
      <c r="G81" s="12">
        <f>VLOOKUP(Table1[[#This Row],[Grade Level]],'Simple Salary Structure'!$B$7:$I$16,3,0)</f>
        <v>150000</v>
      </c>
      <c r="H81" s="12">
        <f>VLOOKUP(Table1[[#This Row],[Grade Level]],'Simple Salary Structure'!$B$8:$I$16,4,0)</f>
        <v>20000</v>
      </c>
      <c r="I81" s="12">
        <f>VLOOKUP(Table1[[#This Row],[Grade Level]],'Simple Salary Structure'!$B$7:$I$16,5,0)</f>
        <v>48364.600000000006</v>
      </c>
      <c r="J81" s="12">
        <f>VLOOKUP(Table1[[#This Row],[Grade Level]],'Simple Salary Structure'!$B$7:$I$16,6,0)</f>
        <v>5000</v>
      </c>
      <c r="K81" s="12">
        <f>VLOOKUP(Table1[[#This Row],[Grade Level]],'Simple Salary Structure'!$B$7:$I$16,7,0)</f>
        <v>10000</v>
      </c>
      <c r="L81" s="12">
        <f>VLOOKUP(Table1[[#This Row],[Grade Level]],'Simple Salary Structure'!$B$7:$I$16,8,0)</f>
        <v>717012.6</v>
      </c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7.25" customHeight="1" x14ac:dyDescent="0.25">
      <c r="A82" s="10">
        <v>74</v>
      </c>
      <c r="B82" s="11" t="s">
        <v>174</v>
      </c>
      <c r="C82" s="10" t="s">
        <v>175</v>
      </c>
      <c r="D82" s="10" t="s">
        <v>21</v>
      </c>
      <c r="E82" s="10" t="s">
        <v>43</v>
      </c>
      <c r="F82" s="12">
        <f>VLOOKUP(Table1[[#This Row],[Grade Level]],'Simple Salary Structure'!$B$7:$I$16,2,0)</f>
        <v>997605</v>
      </c>
      <c r="G82" s="12">
        <f>VLOOKUP(Table1[[#This Row],[Grade Level]],'Simple Salary Structure'!$B$7:$I$16,3,0)</f>
        <v>150000</v>
      </c>
      <c r="H82" s="12">
        <f>VLOOKUP(Table1[[#This Row],[Grade Level]],'Simple Salary Structure'!$B$8:$I$16,4,0)</f>
        <v>20000</v>
      </c>
      <c r="I82" s="12">
        <f>VLOOKUP(Table1[[#This Row],[Grade Level]],'Simple Salary Structure'!$B$7:$I$16,5,0)</f>
        <v>99760.5</v>
      </c>
      <c r="J82" s="12">
        <f>VLOOKUP(Table1[[#This Row],[Grade Level]],'Simple Salary Structure'!$B$7:$I$16,6,0)</f>
        <v>5000</v>
      </c>
      <c r="K82" s="12">
        <f>VLOOKUP(Table1[[#This Row],[Grade Level]],'Simple Salary Structure'!$B$7:$I$16,7,0)</f>
        <v>10000</v>
      </c>
      <c r="L82" s="12">
        <f>VLOOKUP(Table1[[#This Row],[Grade Level]],'Simple Salary Structure'!$B$7:$I$16,8,0)</f>
        <v>1282373.5</v>
      </c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7.25" customHeight="1" x14ac:dyDescent="0.25">
      <c r="A83" s="10">
        <v>75</v>
      </c>
      <c r="B83" s="11" t="s">
        <v>176</v>
      </c>
      <c r="C83" s="10" t="s">
        <v>177</v>
      </c>
      <c r="D83" s="10" t="s">
        <v>21</v>
      </c>
      <c r="E83" s="10" t="s">
        <v>43</v>
      </c>
      <c r="F83" s="12">
        <f>VLOOKUP(Table1[[#This Row],[Grade Level]],'Simple Salary Structure'!$B$7:$I$16,2,0)</f>
        <v>997605</v>
      </c>
      <c r="G83" s="12">
        <f>VLOOKUP(Table1[[#This Row],[Grade Level]],'Simple Salary Structure'!$B$7:$I$16,3,0)</f>
        <v>150000</v>
      </c>
      <c r="H83" s="12">
        <f>VLOOKUP(Table1[[#This Row],[Grade Level]],'Simple Salary Structure'!$B$8:$I$16,4,0)</f>
        <v>20000</v>
      </c>
      <c r="I83" s="12">
        <f>VLOOKUP(Table1[[#This Row],[Grade Level]],'Simple Salary Structure'!$B$7:$I$16,5,0)</f>
        <v>99760.5</v>
      </c>
      <c r="J83" s="12">
        <f>VLOOKUP(Table1[[#This Row],[Grade Level]],'Simple Salary Structure'!$B$7:$I$16,6,0)</f>
        <v>5000</v>
      </c>
      <c r="K83" s="12">
        <f>VLOOKUP(Table1[[#This Row],[Grade Level]],'Simple Salary Structure'!$B$7:$I$16,7,0)</f>
        <v>10000</v>
      </c>
      <c r="L83" s="12">
        <f>VLOOKUP(Table1[[#This Row],[Grade Level]],'Simple Salary Structure'!$B$7:$I$16,8,0)</f>
        <v>1282373.5</v>
      </c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7.25" customHeight="1" x14ac:dyDescent="0.25">
      <c r="A84" s="10">
        <v>76</v>
      </c>
      <c r="B84" s="11" t="s">
        <v>178</v>
      </c>
      <c r="C84" s="10" t="s">
        <v>179</v>
      </c>
      <c r="D84" s="10" t="s">
        <v>25</v>
      </c>
      <c r="E84" s="10" t="s">
        <v>18</v>
      </c>
      <c r="F84" s="12">
        <f>VLOOKUP(Table1[[#This Row],[Grade Level]],'Simple Salary Structure'!$B$7:$I$16,2,0)</f>
        <v>483646</v>
      </c>
      <c r="G84" s="12">
        <f>VLOOKUP(Table1[[#This Row],[Grade Level]],'Simple Salary Structure'!$B$7:$I$16,3,0)</f>
        <v>150000</v>
      </c>
      <c r="H84" s="12">
        <f>VLOOKUP(Table1[[#This Row],[Grade Level]],'Simple Salary Structure'!$B$8:$I$16,4,0)</f>
        <v>20000</v>
      </c>
      <c r="I84" s="12">
        <f>VLOOKUP(Table1[[#This Row],[Grade Level]],'Simple Salary Structure'!$B$7:$I$16,5,0)</f>
        <v>48364.600000000006</v>
      </c>
      <c r="J84" s="12">
        <f>VLOOKUP(Table1[[#This Row],[Grade Level]],'Simple Salary Structure'!$B$7:$I$16,6,0)</f>
        <v>5000</v>
      </c>
      <c r="K84" s="12">
        <f>VLOOKUP(Table1[[#This Row],[Grade Level]],'Simple Salary Structure'!$B$7:$I$16,7,0)</f>
        <v>10000</v>
      </c>
      <c r="L84" s="12">
        <f>VLOOKUP(Table1[[#This Row],[Grade Level]],'Simple Salary Structure'!$B$7:$I$16,8,0)</f>
        <v>717012.6</v>
      </c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7.25" customHeight="1" x14ac:dyDescent="0.25">
      <c r="A85" s="10">
        <v>77</v>
      </c>
      <c r="B85" s="11" t="s">
        <v>180</v>
      </c>
      <c r="C85" s="10" t="s">
        <v>181</v>
      </c>
      <c r="D85" s="10" t="s">
        <v>17</v>
      </c>
      <c r="E85" s="10" t="s">
        <v>18</v>
      </c>
      <c r="F85" s="12">
        <f>VLOOKUP(Table1[[#This Row],[Grade Level]],'Simple Salary Structure'!$B$7:$I$16,2,0)</f>
        <v>483646</v>
      </c>
      <c r="G85" s="12">
        <f>VLOOKUP(Table1[[#This Row],[Grade Level]],'Simple Salary Structure'!$B$7:$I$16,3,0)</f>
        <v>150000</v>
      </c>
      <c r="H85" s="12">
        <f>VLOOKUP(Table1[[#This Row],[Grade Level]],'Simple Salary Structure'!$B$8:$I$16,4,0)</f>
        <v>20000</v>
      </c>
      <c r="I85" s="12">
        <f>VLOOKUP(Table1[[#This Row],[Grade Level]],'Simple Salary Structure'!$B$7:$I$16,5,0)</f>
        <v>48364.600000000006</v>
      </c>
      <c r="J85" s="12">
        <f>VLOOKUP(Table1[[#This Row],[Grade Level]],'Simple Salary Structure'!$B$7:$I$16,6,0)</f>
        <v>5000</v>
      </c>
      <c r="K85" s="12">
        <f>VLOOKUP(Table1[[#This Row],[Grade Level]],'Simple Salary Structure'!$B$7:$I$16,7,0)</f>
        <v>10000</v>
      </c>
      <c r="L85" s="12">
        <f>VLOOKUP(Table1[[#This Row],[Grade Level]],'Simple Salary Structure'!$B$7:$I$16,8,0)</f>
        <v>717012.6</v>
      </c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7.25" customHeight="1" x14ac:dyDescent="0.25">
      <c r="A86" s="10">
        <v>78</v>
      </c>
      <c r="B86" s="11" t="s">
        <v>182</v>
      </c>
      <c r="C86" s="10" t="s">
        <v>183</v>
      </c>
      <c r="D86" s="10" t="s">
        <v>25</v>
      </c>
      <c r="E86" s="10" t="s">
        <v>18</v>
      </c>
      <c r="F86" s="12">
        <f>VLOOKUP(Table1[[#This Row],[Grade Level]],'Simple Salary Structure'!$B$7:$I$16,2,0)</f>
        <v>483646</v>
      </c>
      <c r="G86" s="12">
        <f>VLOOKUP(Table1[[#This Row],[Grade Level]],'Simple Salary Structure'!$B$7:$I$16,3,0)</f>
        <v>150000</v>
      </c>
      <c r="H86" s="12">
        <f>VLOOKUP(Table1[[#This Row],[Grade Level]],'Simple Salary Structure'!$B$8:$I$16,4,0)</f>
        <v>20000</v>
      </c>
      <c r="I86" s="12">
        <f>VLOOKUP(Table1[[#This Row],[Grade Level]],'Simple Salary Structure'!$B$7:$I$16,5,0)</f>
        <v>48364.600000000006</v>
      </c>
      <c r="J86" s="12">
        <f>VLOOKUP(Table1[[#This Row],[Grade Level]],'Simple Salary Structure'!$B$7:$I$16,6,0)</f>
        <v>5000</v>
      </c>
      <c r="K86" s="12">
        <f>VLOOKUP(Table1[[#This Row],[Grade Level]],'Simple Salary Structure'!$B$7:$I$16,7,0)</f>
        <v>10000</v>
      </c>
      <c r="L86" s="12">
        <f>VLOOKUP(Table1[[#This Row],[Grade Level]],'Simple Salary Structure'!$B$7:$I$16,8,0)</f>
        <v>717012.6</v>
      </c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7.25" customHeight="1" x14ac:dyDescent="0.25">
      <c r="A87" s="10">
        <v>79</v>
      </c>
      <c r="B87" s="11" t="s">
        <v>184</v>
      </c>
      <c r="C87" s="10" t="s">
        <v>185</v>
      </c>
      <c r="D87" s="10" t="s">
        <v>28</v>
      </c>
      <c r="E87" s="10" t="s">
        <v>29</v>
      </c>
      <c r="F87" s="12">
        <f>VLOOKUP(Table1[[#This Row],[Grade Level]],'Simple Salary Structure'!$B$7:$I$16,2,0)</f>
        <v>685899</v>
      </c>
      <c r="G87" s="12">
        <f>VLOOKUP(Table1[[#This Row],[Grade Level]],'Simple Salary Structure'!$B$7:$I$16,3,0)</f>
        <v>150000</v>
      </c>
      <c r="H87" s="12">
        <f>VLOOKUP(Table1[[#This Row],[Grade Level]],'Simple Salary Structure'!$B$8:$I$16,4,0)</f>
        <v>20000</v>
      </c>
      <c r="I87" s="12">
        <f>VLOOKUP(Table1[[#This Row],[Grade Level]],'Simple Salary Structure'!$B$7:$I$16,5,0)</f>
        <v>68589.900000000009</v>
      </c>
      <c r="J87" s="12">
        <f>VLOOKUP(Table1[[#This Row],[Grade Level]],'Simple Salary Structure'!$B$7:$I$16,6,0)</f>
        <v>5000</v>
      </c>
      <c r="K87" s="12">
        <f>VLOOKUP(Table1[[#This Row],[Grade Level]],'Simple Salary Structure'!$B$7:$I$16,7,0)</f>
        <v>10000</v>
      </c>
      <c r="L87" s="12">
        <f>VLOOKUP(Table1[[#This Row],[Grade Level]],'Simple Salary Structure'!$B$7:$I$16,8,0)</f>
        <v>939493.9</v>
      </c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7.25" customHeight="1" x14ac:dyDescent="0.25">
      <c r="A88" s="10">
        <v>80</v>
      </c>
      <c r="B88" s="11" t="s">
        <v>186</v>
      </c>
      <c r="C88" s="10" t="s">
        <v>187</v>
      </c>
      <c r="D88" s="10" t="s">
        <v>21</v>
      </c>
      <c r="E88" s="10" t="s">
        <v>37</v>
      </c>
      <c r="F88" s="12">
        <f>VLOOKUP(Table1[[#This Row],[Grade Level]],'Simple Salary Structure'!$B$7:$I$16,2,0)</f>
        <v>810490</v>
      </c>
      <c r="G88" s="12">
        <f>VLOOKUP(Table1[[#This Row],[Grade Level]],'Simple Salary Structure'!$B$7:$I$16,3,0)</f>
        <v>150000</v>
      </c>
      <c r="H88" s="12">
        <f>VLOOKUP(Table1[[#This Row],[Grade Level]],'Simple Salary Structure'!$B$8:$I$16,4,0)</f>
        <v>20000</v>
      </c>
      <c r="I88" s="12">
        <f>VLOOKUP(Table1[[#This Row],[Grade Level]],'Simple Salary Structure'!$B$7:$I$16,5,0)</f>
        <v>81049</v>
      </c>
      <c r="J88" s="12">
        <f>VLOOKUP(Table1[[#This Row],[Grade Level]],'Simple Salary Structure'!$B$7:$I$16,6,0)</f>
        <v>5000</v>
      </c>
      <c r="K88" s="12">
        <f>VLOOKUP(Table1[[#This Row],[Grade Level]],'Simple Salary Structure'!$B$7:$I$16,7,0)</f>
        <v>10000</v>
      </c>
      <c r="L88" s="12">
        <f>VLOOKUP(Table1[[#This Row],[Grade Level]],'Simple Salary Structure'!$B$7:$I$16,8,0)</f>
        <v>1076545</v>
      </c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7.25" customHeight="1" x14ac:dyDescent="0.25">
      <c r="A89" s="10">
        <v>81</v>
      </c>
      <c r="B89" s="11" t="s">
        <v>188</v>
      </c>
      <c r="C89" s="10" t="s">
        <v>189</v>
      </c>
      <c r="D89" s="10" t="s">
        <v>17</v>
      </c>
      <c r="E89" s="10" t="s">
        <v>40</v>
      </c>
      <c r="F89" s="12">
        <f>VLOOKUP(Table1[[#This Row],[Grade Level]],'Simple Salary Structure'!$B$7:$I$16,2,0)</f>
        <v>918468</v>
      </c>
      <c r="G89" s="12">
        <f>VLOOKUP(Table1[[#This Row],[Grade Level]],'Simple Salary Structure'!$B$7:$I$16,3,0)</f>
        <v>150000</v>
      </c>
      <c r="H89" s="12">
        <f>VLOOKUP(Table1[[#This Row],[Grade Level]],'Simple Salary Structure'!$B$8:$I$16,4,0)</f>
        <v>20000</v>
      </c>
      <c r="I89" s="12">
        <f>VLOOKUP(Table1[[#This Row],[Grade Level]],'Simple Salary Structure'!$B$7:$I$16,5,0)</f>
        <v>91846.8</v>
      </c>
      <c r="J89" s="12">
        <f>VLOOKUP(Table1[[#This Row],[Grade Level]],'Simple Salary Structure'!$B$7:$I$16,6,0)</f>
        <v>5000</v>
      </c>
      <c r="K89" s="12">
        <f>VLOOKUP(Table1[[#This Row],[Grade Level]],'Simple Salary Structure'!$B$7:$I$16,7,0)</f>
        <v>10000</v>
      </c>
      <c r="L89" s="12">
        <f>VLOOKUP(Table1[[#This Row],[Grade Level]],'Simple Salary Structure'!$B$7:$I$16,8,0)</f>
        <v>1195321.8</v>
      </c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7.25" customHeight="1" x14ac:dyDescent="0.25">
      <c r="A90" s="10">
        <v>82</v>
      </c>
      <c r="B90" s="11" t="s">
        <v>190</v>
      </c>
      <c r="C90" s="10" t="s">
        <v>191</v>
      </c>
      <c r="D90" s="10" t="s">
        <v>28</v>
      </c>
      <c r="E90" s="10" t="s">
        <v>32</v>
      </c>
      <c r="F90" s="12">
        <f>VLOOKUP(Table1[[#This Row],[Grade Level]],'Simple Salary Structure'!$B$7:$I$16,2,0)</f>
        <v>550208</v>
      </c>
      <c r="G90" s="12">
        <f>VLOOKUP(Table1[[#This Row],[Grade Level]],'Simple Salary Structure'!$B$7:$I$16,3,0)</f>
        <v>150000</v>
      </c>
      <c r="H90" s="12">
        <f>VLOOKUP(Table1[[#This Row],[Grade Level]],'Simple Salary Structure'!$B$8:$I$16,4,0)</f>
        <v>20000</v>
      </c>
      <c r="I90" s="12">
        <f>VLOOKUP(Table1[[#This Row],[Grade Level]],'Simple Salary Structure'!$B$7:$I$16,5,0)</f>
        <v>55020.800000000003</v>
      </c>
      <c r="J90" s="12">
        <f>VLOOKUP(Table1[[#This Row],[Grade Level]],'Simple Salary Structure'!$B$7:$I$16,6,0)</f>
        <v>5000</v>
      </c>
      <c r="K90" s="12">
        <f>VLOOKUP(Table1[[#This Row],[Grade Level]],'Simple Salary Structure'!$B$7:$I$16,7,0)</f>
        <v>10000</v>
      </c>
      <c r="L90" s="12">
        <f>VLOOKUP(Table1[[#This Row],[Grade Level]],'Simple Salary Structure'!$B$7:$I$16,8,0)</f>
        <v>790232.8</v>
      </c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7.25" customHeight="1" x14ac:dyDescent="0.25">
      <c r="A91" s="10">
        <v>83</v>
      </c>
      <c r="B91" s="11" t="s">
        <v>192</v>
      </c>
      <c r="C91" s="10" t="s">
        <v>193</v>
      </c>
      <c r="D91" s="10" t="s">
        <v>28</v>
      </c>
      <c r="E91" s="10" t="s">
        <v>22</v>
      </c>
      <c r="F91" s="12">
        <f>VLOOKUP(Table1[[#This Row],[Grade Level]],'Simple Salary Structure'!$B$7:$I$16,2,0)</f>
        <v>415159</v>
      </c>
      <c r="G91" s="12">
        <f>VLOOKUP(Table1[[#This Row],[Grade Level]],'Simple Salary Structure'!$B$7:$I$16,3,0)</f>
        <v>150000</v>
      </c>
      <c r="H91" s="12">
        <f>VLOOKUP(Table1[[#This Row],[Grade Level]],'Simple Salary Structure'!$B$8:$I$16,4,0)</f>
        <v>20000</v>
      </c>
      <c r="I91" s="12">
        <f>VLOOKUP(Table1[[#This Row],[Grade Level]],'Simple Salary Structure'!$B$7:$I$16,5,0)</f>
        <v>41515.9</v>
      </c>
      <c r="J91" s="12">
        <f>VLOOKUP(Table1[[#This Row],[Grade Level]],'Simple Salary Structure'!$B$7:$I$16,6,0)</f>
        <v>5000</v>
      </c>
      <c r="K91" s="12">
        <f>VLOOKUP(Table1[[#This Row],[Grade Level]],'Simple Salary Structure'!$B$7:$I$16,7,0)</f>
        <v>10000</v>
      </c>
      <c r="L91" s="12">
        <f>VLOOKUP(Table1[[#This Row],[Grade Level]],'Simple Salary Structure'!$B$7:$I$16,8,0)</f>
        <v>641675.9</v>
      </c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7.25" customHeight="1" x14ac:dyDescent="0.25">
      <c r="A92" s="10">
        <v>84</v>
      </c>
      <c r="B92" s="11" t="s">
        <v>194</v>
      </c>
      <c r="C92" s="10" t="s">
        <v>195</v>
      </c>
      <c r="D92" s="10" t="s">
        <v>25</v>
      </c>
      <c r="E92" s="10" t="s">
        <v>67</v>
      </c>
      <c r="F92" s="12">
        <f>VLOOKUP(Table1[[#This Row],[Grade Level]],'Simple Salary Structure'!$B$7:$I$16,2,0)</f>
        <v>310648</v>
      </c>
      <c r="G92" s="12">
        <f>VLOOKUP(Table1[[#This Row],[Grade Level]],'Simple Salary Structure'!$B$7:$I$16,3,0)</f>
        <v>150000</v>
      </c>
      <c r="H92" s="12">
        <f>VLOOKUP(Table1[[#This Row],[Grade Level]],'Simple Salary Structure'!$B$8:$I$16,4,0)</f>
        <v>20000</v>
      </c>
      <c r="I92" s="12">
        <f>VLOOKUP(Table1[[#This Row],[Grade Level]],'Simple Salary Structure'!$B$7:$I$16,5,0)</f>
        <v>31064.800000000003</v>
      </c>
      <c r="J92" s="12">
        <f>VLOOKUP(Table1[[#This Row],[Grade Level]],'Simple Salary Structure'!$B$7:$I$16,6,0)</f>
        <v>5000</v>
      </c>
      <c r="K92" s="12">
        <f>VLOOKUP(Table1[[#This Row],[Grade Level]],'Simple Salary Structure'!$B$7:$I$16,7,0)</f>
        <v>10000</v>
      </c>
      <c r="L92" s="12">
        <f>VLOOKUP(Table1[[#This Row],[Grade Level]],'Simple Salary Structure'!$B$7:$I$16,8,0)</f>
        <v>526712.80000000005</v>
      </c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7.25" customHeight="1" x14ac:dyDescent="0.25">
      <c r="A93" s="10">
        <v>85</v>
      </c>
      <c r="B93" s="11" t="s">
        <v>196</v>
      </c>
      <c r="C93" s="10" t="s">
        <v>197</v>
      </c>
      <c r="D93" s="10" t="s">
        <v>28</v>
      </c>
      <c r="E93" s="10" t="s">
        <v>22</v>
      </c>
      <c r="F93" s="12">
        <f>VLOOKUP(Table1[[#This Row],[Grade Level]],'Simple Salary Structure'!$B$7:$I$16,2,0)</f>
        <v>415159</v>
      </c>
      <c r="G93" s="12">
        <f>VLOOKUP(Table1[[#This Row],[Grade Level]],'Simple Salary Structure'!$B$7:$I$16,3,0)</f>
        <v>150000</v>
      </c>
      <c r="H93" s="12">
        <f>VLOOKUP(Table1[[#This Row],[Grade Level]],'Simple Salary Structure'!$B$8:$I$16,4,0)</f>
        <v>20000</v>
      </c>
      <c r="I93" s="12">
        <f>VLOOKUP(Table1[[#This Row],[Grade Level]],'Simple Salary Structure'!$B$7:$I$16,5,0)</f>
        <v>41515.9</v>
      </c>
      <c r="J93" s="12">
        <f>VLOOKUP(Table1[[#This Row],[Grade Level]],'Simple Salary Structure'!$B$7:$I$16,6,0)</f>
        <v>5000</v>
      </c>
      <c r="K93" s="12">
        <f>VLOOKUP(Table1[[#This Row],[Grade Level]],'Simple Salary Structure'!$B$7:$I$16,7,0)</f>
        <v>10000</v>
      </c>
      <c r="L93" s="12">
        <f>VLOOKUP(Table1[[#This Row],[Grade Level]],'Simple Salary Structure'!$B$7:$I$16,8,0)</f>
        <v>641675.9</v>
      </c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 count="3">
    <dataValidation type="list" allowBlank="1" showDropDown="1" showErrorMessage="1" sqref="E9:E93" xr:uid="{00000000-0002-0000-0000-000000000000}">
      <formula1>"Semi Senior,ESA,Senior 3,Senior 2,Manager,Senior Manager,Director,Senior 1,SA"</formula1>
    </dataValidation>
    <dataValidation type="custom" allowBlank="1" showDropDown="1" sqref="A9:A93" xr:uid="{00000000-0002-0000-0000-000001000000}">
      <formula1>AND(ISNUMBER(A9),(NOT(OR(NOT(ISERROR(DATEVALUE(A9))), AND(ISNUMBER(A9), LEFT(CELL("format", A9))="D")))))</formula1>
    </dataValidation>
    <dataValidation type="list" allowBlank="1" showDropDown="1" showErrorMessage="1" sqref="D9:D93" xr:uid="{00000000-0002-0000-0000-000002000000}">
      <formula1>"Finance,Human Resources,Forensic,Sales"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1D39E-177A-4452-B1AA-A9D960084B56}">
  <dimension ref="A1:L92"/>
  <sheetViews>
    <sheetView tabSelected="1" workbookViewId="0">
      <selection activeCell="G8" sqref="G8"/>
    </sheetView>
  </sheetViews>
  <sheetFormatPr defaultRowHeight="13.2" x14ac:dyDescent="0.25"/>
  <cols>
    <col min="2" max="2" width="13.44140625" customWidth="1"/>
    <col min="3" max="3" width="29" customWidth="1"/>
    <col min="4" max="4" width="23.77734375" customWidth="1"/>
    <col min="5" max="5" width="17.5546875" customWidth="1"/>
    <col min="6" max="6" width="12.109375" customWidth="1"/>
    <col min="7" max="7" width="15.21875" customWidth="1"/>
    <col min="8" max="8" width="13.5546875" customWidth="1"/>
    <col min="9" max="9" width="12.6640625" customWidth="1"/>
    <col min="11" max="11" width="10.5546875" customWidth="1"/>
    <col min="12" max="12" width="13.21875" customWidth="1"/>
  </cols>
  <sheetData>
    <row r="1" spans="1:12" ht="21" x14ac:dyDescent="0.4">
      <c r="A1" s="3" t="s">
        <v>0</v>
      </c>
      <c r="B1" s="3"/>
      <c r="C1" s="4"/>
      <c r="D1" s="4"/>
      <c r="E1" s="4"/>
      <c r="F1" s="4"/>
      <c r="G1" s="4"/>
      <c r="H1" s="3"/>
      <c r="I1" s="4"/>
      <c r="J1" s="4"/>
      <c r="K1" s="4"/>
      <c r="L1" s="4"/>
    </row>
    <row r="2" spans="1:12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16.8" x14ac:dyDescent="0.3">
      <c r="A3" s="5" t="s">
        <v>1</v>
      </c>
      <c r="B3" s="2"/>
      <c r="C3" s="2"/>
      <c r="D3" s="2"/>
      <c r="F3" s="2"/>
      <c r="G3" s="2"/>
      <c r="H3" s="2"/>
      <c r="I3" s="2"/>
      <c r="J3" s="2"/>
      <c r="K3" s="2"/>
      <c r="L3" s="2"/>
    </row>
    <row r="4" spans="1:12" ht="16.8" x14ac:dyDescent="0.3">
      <c r="A4" s="6" t="s">
        <v>2</v>
      </c>
      <c r="B4" s="2"/>
      <c r="C4" s="2"/>
      <c r="D4" s="2"/>
      <c r="E4" s="2"/>
      <c r="G4" s="2"/>
      <c r="H4" s="2"/>
      <c r="I4" s="2"/>
      <c r="J4" s="2"/>
      <c r="K4" s="2"/>
      <c r="L4" s="2"/>
    </row>
    <row r="5" spans="1:12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ht="27.6" x14ac:dyDescent="0.25">
      <c r="A7" s="7" t="s">
        <v>3</v>
      </c>
      <c r="B7" s="8" t="s">
        <v>4</v>
      </c>
      <c r="C7" s="8" t="s">
        <v>5</v>
      </c>
      <c r="D7" s="8" t="s">
        <v>6</v>
      </c>
      <c r="E7" s="8" t="s">
        <v>7</v>
      </c>
      <c r="F7" s="8" t="s">
        <v>8</v>
      </c>
      <c r="G7" s="8" t="s">
        <v>9</v>
      </c>
      <c r="H7" s="8" t="s">
        <v>10</v>
      </c>
      <c r="I7" s="8" t="s">
        <v>11</v>
      </c>
      <c r="J7" s="8" t="s">
        <v>12</v>
      </c>
      <c r="K7" s="8" t="s">
        <v>13</v>
      </c>
      <c r="L7" s="9" t="s">
        <v>14</v>
      </c>
    </row>
    <row r="8" spans="1:12" ht="13.8" x14ac:dyDescent="0.25">
      <c r="A8" s="10">
        <v>1</v>
      </c>
      <c r="B8" s="11" t="s">
        <v>15</v>
      </c>
      <c r="C8" s="10" t="s">
        <v>16</v>
      </c>
      <c r="D8" s="10" t="s">
        <v>17</v>
      </c>
      <c r="E8" s="10" t="s">
        <v>18</v>
      </c>
      <c r="F8" s="12">
        <f>_xlfn.XLOOKUP(Table13[[#This Row],[Grade Level]],'Simple Salary Structure'!$B$7:$B$16,'Simple Salary Structure'!C7:C16)</f>
        <v>483646</v>
      </c>
      <c r="G8" s="12"/>
      <c r="H8" s="12"/>
      <c r="I8" s="12"/>
      <c r="J8" s="12"/>
      <c r="K8" s="12"/>
      <c r="L8" s="12"/>
    </row>
    <row r="9" spans="1:12" ht="13.8" x14ac:dyDescent="0.25">
      <c r="A9" s="10">
        <v>2</v>
      </c>
      <c r="B9" s="11" t="s">
        <v>19</v>
      </c>
      <c r="C9" s="10" t="s">
        <v>20</v>
      </c>
      <c r="D9" s="10" t="s">
        <v>21</v>
      </c>
      <c r="E9" s="10" t="s">
        <v>22</v>
      </c>
      <c r="F9" s="12"/>
      <c r="G9" s="12"/>
      <c r="H9" s="12"/>
      <c r="I9" s="12"/>
      <c r="J9" s="12"/>
      <c r="K9" s="12"/>
      <c r="L9" s="12"/>
    </row>
    <row r="10" spans="1:12" ht="13.8" x14ac:dyDescent="0.25">
      <c r="A10" s="10">
        <v>3</v>
      </c>
      <c r="B10" s="11" t="s">
        <v>23</v>
      </c>
      <c r="C10" s="10" t="s">
        <v>24</v>
      </c>
      <c r="D10" s="10" t="s">
        <v>25</v>
      </c>
      <c r="E10" s="10" t="s">
        <v>18</v>
      </c>
      <c r="F10" s="12"/>
      <c r="G10" s="12"/>
      <c r="H10" s="12"/>
      <c r="I10" s="12"/>
      <c r="J10" s="12"/>
      <c r="K10" s="12"/>
      <c r="L10" s="12"/>
    </row>
    <row r="11" spans="1:12" ht="13.8" x14ac:dyDescent="0.25">
      <c r="A11" s="10">
        <v>4</v>
      </c>
      <c r="B11" s="11" t="s">
        <v>26</v>
      </c>
      <c r="C11" s="10" t="s">
        <v>27</v>
      </c>
      <c r="D11" s="10" t="s">
        <v>28</v>
      </c>
      <c r="E11" s="10" t="s">
        <v>29</v>
      </c>
      <c r="F11" s="12"/>
      <c r="G11" s="12"/>
      <c r="H11" s="12"/>
      <c r="I11" s="12"/>
      <c r="J11" s="12"/>
      <c r="K11" s="12"/>
      <c r="L11" s="12"/>
    </row>
    <row r="12" spans="1:12" ht="13.8" x14ac:dyDescent="0.25">
      <c r="A12" s="10">
        <v>5</v>
      </c>
      <c r="B12" s="11" t="s">
        <v>30</v>
      </c>
      <c r="C12" s="10" t="s">
        <v>31</v>
      </c>
      <c r="D12" s="10" t="s">
        <v>17</v>
      </c>
      <c r="E12" s="10" t="s">
        <v>32</v>
      </c>
      <c r="F12" s="12"/>
      <c r="G12" s="12"/>
      <c r="H12" s="12"/>
      <c r="I12" s="12"/>
      <c r="J12" s="12"/>
      <c r="K12" s="12"/>
      <c r="L12" s="12"/>
    </row>
    <row r="13" spans="1:12" ht="13.8" x14ac:dyDescent="0.25">
      <c r="A13" s="10">
        <v>6</v>
      </c>
      <c r="B13" s="11" t="s">
        <v>33</v>
      </c>
      <c r="C13" s="10" t="s">
        <v>34</v>
      </c>
      <c r="D13" s="10" t="s">
        <v>21</v>
      </c>
      <c r="E13" s="10" t="s">
        <v>29</v>
      </c>
      <c r="F13" s="12"/>
      <c r="G13" s="12"/>
      <c r="H13" s="12"/>
      <c r="I13" s="12"/>
      <c r="J13" s="12"/>
      <c r="K13" s="12"/>
      <c r="L13" s="12"/>
    </row>
    <row r="14" spans="1:12" ht="13.8" x14ac:dyDescent="0.25">
      <c r="A14" s="10">
        <v>7</v>
      </c>
      <c r="B14" s="11" t="s">
        <v>35</v>
      </c>
      <c r="C14" s="10" t="s">
        <v>36</v>
      </c>
      <c r="D14" s="10" t="s">
        <v>25</v>
      </c>
      <c r="E14" s="10" t="s">
        <v>37</v>
      </c>
      <c r="F14" s="12"/>
      <c r="G14" s="12"/>
      <c r="H14" s="12"/>
      <c r="I14" s="12"/>
      <c r="J14" s="12"/>
      <c r="K14" s="12"/>
      <c r="L14" s="12"/>
    </row>
    <row r="15" spans="1:12" ht="13.8" x14ac:dyDescent="0.25">
      <c r="A15" s="10">
        <v>8</v>
      </c>
      <c r="B15" s="11" t="s">
        <v>38</v>
      </c>
      <c r="C15" s="10" t="s">
        <v>39</v>
      </c>
      <c r="D15" s="10" t="s">
        <v>25</v>
      </c>
      <c r="E15" s="10" t="s">
        <v>40</v>
      </c>
      <c r="F15" s="12"/>
      <c r="G15" s="12"/>
      <c r="H15" s="12"/>
      <c r="I15" s="12"/>
      <c r="J15" s="12"/>
      <c r="K15" s="12"/>
      <c r="L15" s="12"/>
    </row>
    <row r="16" spans="1:12" ht="13.8" x14ac:dyDescent="0.25">
      <c r="A16" s="10">
        <v>9</v>
      </c>
      <c r="B16" s="11" t="s">
        <v>41</v>
      </c>
      <c r="C16" s="10" t="s">
        <v>42</v>
      </c>
      <c r="D16" s="10" t="s">
        <v>25</v>
      </c>
      <c r="E16" s="10" t="s">
        <v>43</v>
      </c>
      <c r="F16" s="12"/>
      <c r="G16" s="12"/>
      <c r="H16" s="12"/>
      <c r="I16" s="12"/>
      <c r="J16" s="12"/>
      <c r="K16" s="12"/>
      <c r="L16" s="12"/>
    </row>
    <row r="17" spans="1:12" ht="13.8" x14ac:dyDescent="0.25">
      <c r="A17" s="10">
        <v>10</v>
      </c>
      <c r="B17" s="11" t="s">
        <v>44</v>
      </c>
      <c r="C17" s="10" t="s">
        <v>45</v>
      </c>
      <c r="D17" s="10" t="s">
        <v>17</v>
      </c>
      <c r="E17" s="10" t="s">
        <v>37</v>
      </c>
      <c r="F17" s="12"/>
      <c r="G17" s="12"/>
      <c r="H17" s="12"/>
      <c r="I17" s="12"/>
      <c r="J17" s="12"/>
      <c r="K17" s="12"/>
      <c r="L17" s="12"/>
    </row>
    <row r="18" spans="1:12" ht="13.8" x14ac:dyDescent="0.25">
      <c r="A18" s="10">
        <v>11</v>
      </c>
      <c r="B18" s="11" t="s">
        <v>46</v>
      </c>
      <c r="C18" s="10" t="s">
        <v>47</v>
      </c>
      <c r="D18" s="10" t="s">
        <v>28</v>
      </c>
      <c r="E18" s="10" t="s">
        <v>40</v>
      </c>
      <c r="F18" s="12"/>
      <c r="G18" s="12"/>
      <c r="H18" s="12"/>
      <c r="I18" s="12"/>
      <c r="J18" s="12"/>
      <c r="K18" s="12"/>
      <c r="L18" s="12"/>
    </row>
    <row r="19" spans="1:12" ht="13.8" x14ac:dyDescent="0.25">
      <c r="A19" s="10">
        <v>12</v>
      </c>
      <c r="B19" s="11" t="s">
        <v>48</v>
      </c>
      <c r="C19" s="10" t="s">
        <v>49</v>
      </c>
      <c r="D19" s="10" t="s">
        <v>25</v>
      </c>
      <c r="E19" s="10" t="s">
        <v>40</v>
      </c>
      <c r="F19" s="12"/>
      <c r="G19" s="12"/>
      <c r="H19" s="12"/>
      <c r="I19" s="12"/>
      <c r="J19" s="12"/>
      <c r="K19" s="12"/>
      <c r="L19" s="12"/>
    </row>
    <row r="20" spans="1:12" ht="13.8" x14ac:dyDescent="0.25">
      <c r="A20" s="10">
        <v>13</v>
      </c>
      <c r="B20" s="11" t="s">
        <v>50</v>
      </c>
      <c r="C20" s="10" t="s">
        <v>51</v>
      </c>
      <c r="D20" s="10" t="s">
        <v>28</v>
      </c>
      <c r="E20" s="10" t="s">
        <v>43</v>
      </c>
      <c r="F20" s="12"/>
      <c r="G20" s="12"/>
      <c r="H20" s="12"/>
      <c r="I20" s="12"/>
      <c r="J20" s="12"/>
      <c r="K20" s="12"/>
      <c r="L20" s="12"/>
    </row>
    <row r="21" spans="1:12" ht="13.8" x14ac:dyDescent="0.25">
      <c r="A21" s="10">
        <v>14</v>
      </c>
      <c r="B21" s="11" t="s">
        <v>52</v>
      </c>
      <c r="C21" s="10" t="s">
        <v>53</v>
      </c>
      <c r="D21" s="10" t="s">
        <v>28</v>
      </c>
      <c r="E21" s="10" t="s">
        <v>37</v>
      </c>
      <c r="F21" s="12"/>
      <c r="G21" s="12"/>
      <c r="H21" s="12"/>
      <c r="I21" s="12"/>
      <c r="J21" s="12"/>
      <c r="K21" s="12"/>
      <c r="L21" s="12"/>
    </row>
    <row r="22" spans="1:12" ht="13.8" x14ac:dyDescent="0.25">
      <c r="A22" s="10">
        <v>15</v>
      </c>
      <c r="B22" s="11" t="s">
        <v>54</v>
      </c>
      <c r="C22" s="10" t="s">
        <v>55</v>
      </c>
      <c r="D22" s="10" t="s">
        <v>28</v>
      </c>
      <c r="E22" s="10" t="s">
        <v>40</v>
      </c>
      <c r="F22" s="12"/>
      <c r="G22" s="12"/>
      <c r="H22" s="12"/>
      <c r="I22" s="12"/>
      <c r="J22" s="12"/>
      <c r="K22" s="12"/>
      <c r="L22" s="12"/>
    </row>
    <row r="23" spans="1:12" ht="13.8" x14ac:dyDescent="0.25">
      <c r="A23" s="10">
        <v>16</v>
      </c>
      <c r="B23" s="11" t="s">
        <v>56</v>
      </c>
      <c r="C23" s="10" t="s">
        <v>57</v>
      </c>
      <c r="D23" s="10" t="s">
        <v>25</v>
      </c>
      <c r="E23" s="10" t="s">
        <v>22</v>
      </c>
      <c r="F23" s="12"/>
      <c r="G23" s="12"/>
      <c r="H23" s="12"/>
      <c r="I23" s="12"/>
      <c r="J23" s="12"/>
      <c r="K23" s="12"/>
      <c r="L23" s="12"/>
    </row>
    <row r="24" spans="1:12" ht="13.8" x14ac:dyDescent="0.25">
      <c r="A24" s="10">
        <v>17</v>
      </c>
      <c r="B24" s="11" t="s">
        <v>58</v>
      </c>
      <c r="C24" s="10" t="s">
        <v>59</v>
      </c>
      <c r="D24" s="10" t="s">
        <v>28</v>
      </c>
      <c r="E24" s="10" t="s">
        <v>18</v>
      </c>
      <c r="F24" s="12"/>
      <c r="G24" s="12"/>
      <c r="H24" s="12"/>
      <c r="I24" s="12"/>
      <c r="J24" s="12"/>
      <c r="K24" s="12"/>
      <c r="L24" s="12"/>
    </row>
    <row r="25" spans="1:12" ht="13.8" x14ac:dyDescent="0.25">
      <c r="A25" s="10">
        <v>18</v>
      </c>
      <c r="B25" s="11" t="s">
        <v>60</v>
      </c>
      <c r="C25" s="10" t="s">
        <v>61</v>
      </c>
      <c r="D25" s="10" t="s">
        <v>21</v>
      </c>
      <c r="E25" s="10" t="s">
        <v>62</v>
      </c>
      <c r="F25" s="12"/>
      <c r="G25" s="12"/>
      <c r="H25" s="12"/>
      <c r="I25" s="12"/>
      <c r="J25" s="12"/>
      <c r="K25" s="12"/>
      <c r="L25" s="12"/>
    </row>
    <row r="26" spans="1:12" ht="13.8" x14ac:dyDescent="0.25">
      <c r="A26" s="10">
        <v>19</v>
      </c>
      <c r="B26" s="11" t="s">
        <v>63</v>
      </c>
      <c r="C26" s="10" t="s">
        <v>64</v>
      </c>
      <c r="D26" s="10" t="s">
        <v>21</v>
      </c>
      <c r="E26" s="10" t="s">
        <v>32</v>
      </c>
      <c r="F26" s="12"/>
      <c r="G26" s="12"/>
      <c r="H26" s="12"/>
      <c r="I26" s="12"/>
      <c r="J26" s="12"/>
      <c r="K26" s="12"/>
      <c r="L26" s="12"/>
    </row>
    <row r="27" spans="1:12" ht="13.8" x14ac:dyDescent="0.25">
      <c r="A27" s="10">
        <v>20</v>
      </c>
      <c r="B27" s="11" t="s">
        <v>65</v>
      </c>
      <c r="C27" s="10" t="s">
        <v>66</v>
      </c>
      <c r="D27" s="10" t="s">
        <v>17</v>
      </c>
      <c r="E27" s="10" t="s">
        <v>67</v>
      </c>
      <c r="F27" s="12"/>
      <c r="G27" s="12"/>
      <c r="H27" s="12"/>
      <c r="I27" s="12"/>
      <c r="J27" s="12"/>
      <c r="K27" s="12"/>
      <c r="L27" s="12"/>
    </row>
    <row r="28" spans="1:12" ht="13.8" x14ac:dyDescent="0.25">
      <c r="A28" s="10">
        <v>21</v>
      </c>
      <c r="B28" s="11" t="s">
        <v>68</v>
      </c>
      <c r="C28" s="10" t="s">
        <v>69</v>
      </c>
      <c r="D28" s="10" t="s">
        <v>21</v>
      </c>
      <c r="E28" s="10" t="s">
        <v>22</v>
      </c>
      <c r="F28" s="12"/>
      <c r="G28" s="12"/>
      <c r="H28" s="12"/>
      <c r="I28" s="12"/>
      <c r="J28" s="12"/>
      <c r="K28" s="12"/>
      <c r="L28" s="12"/>
    </row>
    <row r="29" spans="1:12" ht="13.8" x14ac:dyDescent="0.25">
      <c r="A29" s="10">
        <v>22</v>
      </c>
      <c r="B29" s="11" t="s">
        <v>70</v>
      </c>
      <c r="C29" s="10" t="s">
        <v>71</v>
      </c>
      <c r="D29" s="10" t="s">
        <v>25</v>
      </c>
      <c r="E29" s="10" t="s">
        <v>18</v>
      </c>
      <c r="F29" s="12"/>
      <c r="G29" s="12"/>
      <c r="H29" s="12"/>
      <c r="I29" s="12"/>
      <c r="J29" s="12"/>
      <c r="K29" s="12"/>
      <c r="L29" s="12"/>
    </row>
    <row r="30" spans="1:12" ht="13.8" x14ac:dyDescent="0.25">
      <c r="A30" s="10">
        <v>23</v>
      </c>
      <c r="B30" s="11" t="s">
        <v>72</v>
      </c>
      <c r="C30" s="10" t="s">
        <v>73</v>
      </c>
      <c r="D30" s="10" t="s">
        <v>28</v>
      </c>
      <c r="E30" s="10" t="s">
        <v>62</v>
      </c>
      <c r="F30" s="12"/>
      <c r="G30" s="12"/>
      <c r="H30" s="12"/>
      <c r="I30" s="12"/>
      <c r="J30" s="12"/>
      <c r="K30" s="12"/>
      <c r="L30" s="12"/>
    </row>
    <row r="31" spans="1:12" ht="13.8" x14ac:dyDescent="0.25">
      <c r="A31" s="10">
        <v>24</v>
      </c>
      <c r="B31" s="11" t="s">
        <v>74</v>
      </c>
      <c r="C31" s="10" t="s">
        <v>75</v>
      </c>
      <c r="D31" s="10" t="s">
        <v>28</v>
      </c>
      <c r="E31" s="10" t="s">
        <v>32</v>
      </c>
      <c r="F31" s="12"/>
      <c r="G31" s="12"/>
      <c r="H31" s="12"/>
      <c r="I31" s="12"/>
      <c r="J31" s="12"/>
      <c r="K31" s="12"/>
      <c r="L31" s="12"/>
    </row>
    <row r="32" spans="1:12" ht="13.8" x14ac:dyDescent="0.25">
      <c r="A32" s="10">
        <v>25</v>
      </c>
      <c r="B32" s="11" t="s">
        <v>76</v>
      </c>
      <c r="C32" s="10" t="s">
        <v>77</v>
      </c>
      <c r="D32" s="10" t="s">
        <v>28</v>
      </c>
      <c r="E32" s="10" t="s">
        <v>29</v>
      </c>
      <c r="F32" s="12"/>
      <c r="G32" s="12"/>
      <c r="H32" s="12"/>
      <c r="I32" s="12"/>
      <c r="J32" s="12"/>
      <c r="K32" s="12"/>
      <c r="L32" s="12"/>
    </row>
    <row r="33" spans="1:12" ht="13.8" x14ac:dyDescent="0.25">
      <c r="A33" s="10">
        <v>26</v>
      </c>
      <c r="B33" s="11" t="s">
        <v>78</v>
      </c>
      <c r="C33" s="10" t="s">
        <v>79</v>
      </c>
      <c r="D33" s="10" t="s">
        <v>25</v>
      </c>
      <c r="E33" s="10" t="s">
        <v>37</v>
      </c>
      <c r="F33" s="12"/>
      <c r="G33" s="12"/>
      <c r="H33" s="12"/>
      <c r="I33" s="12"/>
      <c r="J33" s="12"/>
      <c r="K33" s="12"/>
      <c r="L33" s="12"/>
    </row>
    <row r="34" spans="1:12" ht="13.8" x14ac:dyDescent="0.25">
      <c r="A34" s="10">
        <v>27</v>
      </c>
      <c r="B34" s="11" t="s">
        <v>80</v>
      </c>
      <c r="C34" s="10" t="s">
        <v>81</v>
      </c>
      <c r="D34" s="10" t="s">
        <v>25</v>
      </c>
      <c r="E34" s="10" t="s">
        <v>40</v>
      </c>
      <c r="F34" s="12"/>
      <c r="G34" s="12"/>
      <c r="H34" s="12"/>
      <c r="I34" s="12"/>
      <c r="J34" s="12"/>
      <c r="K34" s="12"/>
      <c r="L34" s="12"/>
    </row>
    <row r="35" spans="1:12" ht="13.8" x14ac:dyDescent="0.25">
      <c r="A35" s="10">
        <v>28</v>
      </c>
      <c r="B35" s="11" t="s">
        <v>82</v>
      </c>
      <c r="C35" s="10" t="s">
        <v>83</v>
      </c>
      <c r="D35" s="10" t="s">
        <v>21</v>
      </c>
      <c r="E35" s="10" t="s">
        <v>18</v>
      </c>
      <c r="F35" s="12"/>
      <c r="G35" s="12"/>
      <c r="H35" s="12"/>
      <c r="I35" s="12"/>
      <c r="J35" s="12"/>
      <c r="K35" s="12"/>
      <c r="L35" s="12"/>
    </row>
    <row r="36" spans="1:12" ht="13.8" x14ac:dyDescent="0.25">
      <c r="A36" s="10">
        <v>29</v>
      </c>
      <c r="B36" s="11" t="s">
        <v>84</v>
      </c>
      <c r="C36" s="10" t="s">
        <v>85</v>
      </c>
      <c r="D36" s="10" t="s">
        <v>21</v>
      </c>
      <c r="E36" s="10" t="s">
        <v>62</v>
      </c>
      <c r="F36" s="12"/>
      <c r="G36" s="12"/>
      <c r="H36" s="12"/>
      <c r="I36" s="12"/>
      <c r="J36" s="12"/>
      <c r="K36" s="12"/>
      <c r="L36" s="12"/>
    </row>
    <row r="37" spans="1:12" ht="13.8" x14ac:dyDescent="0.25">
      <c r="A37" s="10">
        <v>30</v>
      </c>
      <c r="B37" s="11" t="s">
        <v>86</v>
      </c>
      <c r="C37" s="10" t="s">
        <v>87</v>
      </c>
      <c r="D37" s="10" t="s">
        <v>25</v>
      </c>
      <c r="E37" s="10" t="s">
        <v>32</v>
      </c>
      <c r="F37" s="12"/>
      <c r="G37" s="12"/>
      <c r="H37" s="12"/>
      <c r="I37" s="12"/>
      <c r="J37" s="12"/>
      <c r="K37" s="12"/>
      <c r="L37" s="12"/>
    </row>
    <row r="38" spans="1:12" ht="13.8" x14ac:dyDescent="0.25">
      <c r="A38" s="10">
        <v>31</v>
      </c>
      <c r="B38" s="11" t="s">
        <v>88</v>
      </c>
      <c r="C38" s="10" t="s">
        <v>89</v>
      </c>
      <c r="D38" s="10" t="s">
        <v>25</v>
      </c>
      <c r="E38" s="10" t="s">
        <v>29</v>
      </c>
      <c r="F38" s="12"/>
      <c r="G38" s="12"/>
      <c r="H38" s="12"/>
      <c r="I38" s="12"/>
      <c r="J38" s="12"/>
      <c r="K38" s="12"/>
      <c r="L38" s="12"/>
    </row>
    <row r="39" spans="1:12" ht="13.8" x14ac:dyDescent="0.25">
      <c r="A39" s="10">
        <v>32</v>
      </c>
      <c r="B39" s="11" t="s">
        <v>90</v>
      </c>
      <c r="C39" s="10" t="s">
        <v>91</v>
      </c>
      <c r="D39" s="10" t="s">
        <v>25</v>
      </c>
      <c r="E39" s="10" t="s">
        <v>67</v>
      </c>
      <c r="F39" s="12"/>
      <c r="G39" s="12"/>
      <c r="H39" s="12"/>
      <c r="I39" s="12"/>
      <c r="J39" s="12"/>
      <c r="K39" s="12"/>
      <c r="L39" s="12"/>
    </row>
    <row r="40" spans="1:12" ht="13.8" x14ac:dyDescent="0.25">
      <c r="A40" s="10">
        <v>33</v>
      </c>
      <c r="B40" s="11" t="s">
        <v>92</v>
      </c>
      <c r="C40" s="10" t="s">
        <v>93</v>
      </c>
      <c r="D40" s="10" t="s">
        <v>25</v>
      </c>
      <c r="E40" s="10" t="s">
        <v>22</v>
      </c>
      <c r="F40" s="12"/>
      <c r="G40" s="12"/>
      <c r="H40" s="12"/>
      <c r="I40" s="12"/>
      <c r="J40" s="12"/>
      <c r="K40" s="12"/>
      <c r="L40" s="12"/>
    </row>
    <row r="41" spans="1:12" ht="13.8" x14ac:dyDescent="0.25">
      <c r="A41" s="10">
        <v>34</v>
      </c>
      <c r="B41" s="11" t="s">
        <v>94</v>
      </c>
      <c r="C41" s="10" t="s">
        <v>95</v>
      </c>
      <c r="D41" s="10" t="s">
        <v>28</v>
      </c>
      <c r="E41" s="10" t="s">
        <v>67</v>
      </c>
      <c r="F41" s="12"/>
      <c r="G41" s="12"/>
      <c r="H41" s="12"/>
      <c r="I41" s="12"/>
      <c r="J41" s="12"/>
      <c r="K41" s="12"/>
      <c r="L41" s="12"/>
    </row>
    <row r="42" spans="1:12" ht="13.8" x14ac:dyDescent="0.25">
      <c r="A42" s="10">
        <v>35</v>
      </c>
      <c r="B42" s="11" t="s">
        <v>96</v>
      </c>
      <c r="C42" s="10" t="s">
        <v>97</v>
      </c>
      <c r="D42" s="10" t="s">
        <v>28</v>
      </c>
      <c r="E42" s="10" t="s">
        <v>22</v>
      </c>
      <c r="F42" s="12"/>
      <c r="G42" s="12"/>
      <c r="H42" s="12"/>
      <c r="I42" s="12"/>
      <c r="J42" s="12"/>
      <c r="K42" s="12"/>
      <c r="L42" s="12"/>
    </row>
    <row r="43" spans="1:12" ht="13.8" x14ac:dyDescent="0.25">
      <c r="A43" s="10">
        <v>36</v>
      </c>
      <c r="B43" s="11" t="s">
        <v>98</v>
      </c>
      <c r="C43" s="10" t="s">
        <v>99</v>
      </c>
      <c r="D43" s="10" t="s">
        <v>17</v>
      </c>
      <c r="E43" s="10" t="s">
        <v>67</v>
      </c>
      <c r="F43" s="12"/>
      <c r="G43" s="12"/>
      <c r="H43" s="12"/>
      <c r="I43" s="12"/>
      <c r="J43" s="12"/>
      <c r="K43" s="12"/>
      <c r="L43" s="12"/>
    </row>
    <row r="44" spans="1:12" ht="13.8" x14ac:dyDescent="0.25">
      <c r="A44" s="10">
        <v>37</v>
      </c>
      <c r="B44" s="11" t="s">
        <v>100</v>
      </c>
      <c r="C44" s="10" t="s">
        <v>101</v>
      </c>
      <c r="D44" s="10" t="s">
        <v>17</v>
      </c>
      <c r="E44" s="10" t="s">
        <v>22</v>
      </c>
      <c r="F44" s="12"/>
      <c r="G44" s="12"/>
      <c r="H44" s="12"/>
      <c r="I44" s="12"/>
      <c r="J44" s="12"/>
      <c r="K44" s="12"/>
      <c r="L44" s="12"/>
    </row>
    <row r="45" spans="1:12" ht="13.8" x14ac:dyDescent="0.25">
      <c r="A45" s="10">
        <v>38</v>
      </c>
      <c r="B45" s="11" t="s">
        <v>102</v>
      </c>
      <c r="C45" s="10" t="s">
        <v>103</v>
      </c>
      <c r="D45" s="10" t="s">
        <v>28</v>
      </c>
      <c r="E45" s="10" t="s">
        <v>18</v>
      </c>
      <c r="F45" s="12"/>
      <c r="G45" s="12"/>
      <c r="H45" s="12"/>
      <c r="I45" s="12"/>
      <c r="J45" s="12"/>
      <c r="K45" s="12"/>
      <c r="L45" s="12"/>
    </row>
    <row r="46" spans="1:12" ht="13.8" x14ac:dyDescent="0.25">
      <c r="A46" s="10">
        <v>39</v>
      </c>
      <c r="B46" s="11" t="s">
        <v>104</v>
      </c>
      <c r="C46" s="10" t="s">
        <v>105</v>
      </c>
      <c r="D46" s="10" t="s">
        <v>17</v>
      </c>
      <c r="E46" s="10" t="s">
        <v>62</v>
      </c>
      <c r="F46" s="12"/>
      <c r="G46" s="12"/>
      <c r="H46" s="12"/>
      <c r="I46" s="12"/>
      <c r="J46" s="12"/>
      <c r="K46" s="12"/>
      <c r="L46" s="12"/>
    </row>
    <row r="47" spans="1:12" ht="13.8" x14ac:dyDescent="0.25">
      <c r="A47" s="10">
        <v>40</v>
      </c>
      <c r="B47" s="11" t="s">
        <v>106</v>
      </c>
      <c r="C47" s="10" t="s">
        <v>107</v>
      </c>
      <c r="D47" s="10" t="s">
        <v>28</v>
      </c>
      <c r="E47" s="10" t="s">
        <v>32</v>
      </c>
      <c r="F47" s="12"/>
      <c r="G47" s="12"/>
      <c r="H47" s="12"/>
      <c r="I47" s="12"/>
      <c r="J47" s="12"/>
      <c r="K47" s="12"/>
      <c r="L47" s="12"/>
    </row>
    <row r="48" spans="1:12" ht="13.8" x14ac:dyDescent="0.25">
      <c r="A48" s="10">
        <v>41</v>
      </c>
      <c r="B48" s="11" t="s">
        <v>108</v>
      </c>
      <c r="C48" s="10" t="s">
        <v>109</v>
      </c>
      <c r="D48" s="10" t="s">
        <v>21</v>
      </c>
      <c r="E48" s="10" t="s">
        <v>22</v>
      </c>
      <c r="F48" s="12"/>
      <c r="G48" s="12"/>
      <c r="H48" s="12"/>
      <c r="I48" s="12"/>
      <c r="J48" s="12"/>
      <c r="K48" s="12"/>
      <c r="L48" s="12"/>
    </row>
    <row r="49" spans="1:12" ht="13.8" x14ac:dyDescent="0.25">
      <c r="A49" s="10">
        <v>42</v>
      </c>
      <c r="B49" s="11" t="s">
        <v>110</v>
      </c>
      <c r="C49" s="10" t="s">
        <v>111</v>
      </c>
      <c r="D49" s="10" t="s">
        <v>17</v>
      </c>
      <c r="E49" s="10" t="s">
        <v>67</v>
      </c>
      <c r="F49" s="12"/>
      <c r="G49" s="12"/>
      <c r="H49" s="12"/>
      <c r="I49" s="12"/>
      <c r="J49" s="12"/>
      <c r="K49" s="12"/>
      <c r="L49" s="12"/>
    </row>
    <row r="50" spans="1:12" ht="13.8" x14ac:dyDescent="0.25">
      <c r="A50" s="10">
        <v>43</v>
      </c>
      <c r="B50" s="11" t="s">
        <v>112</v>
      </c>
      <c r="C50" s="10" t="s">
        <v>113</v>
      </c>
      <c r="D50" s="10" t="s">
        <v>25</v>
      </c>
      <c r="E50" s="10" t="s">
        <v>22</v>
      </c>
      <c r="F50" s="12"/>
      <c r="G50" s="12"/>
      <c r="H50" s="12"/>
      <c r="I50" s="12"/>
      <c r="J50" s="12"/>
      <c r="K50" s="12"/>
      <c r="L50" s="12"/>
    </row>
    <row r="51" spans="1:12" ht="13.8" x14ac:dyDescent="0.25">
      <c r="A51" s="10">
        <v>44</v>
      </c>
      <c r="B51" s="11" t="s">
        <v>114</v>
      </c>
      <c r="C51" s="10" t="s">
        <v>115</v>
      </c>
      <c r="D51" s="10" t="s">
        <v>25</v>
      </c>
      <c r="E51" s="10" t="s">
        <v>67</v>
      </c>
      <c r="F51" s="12"/>
      <c r="G51" s="12"/>
      <c r="H51" s="12"/>
      <c r="I51" s="12"/>
      <c r="J51" s="12"/>
      <c r="K51" s="12"/>
      <c r="L51" s="12"/>
    </row>
    <row r="52" spans="1:12" ht="13.8" x14ac:dyDescent="0.25">
      <c r="A52" s="10">
        <v>45</v>
      </c>
      <c r="B52" s="11" t="s">
        <v>116</v>
      </c>
      <c r="C52" s="10" t="s">
        <v>117</v>
      </c>
      <c r="D52" s="10" t="s">
        <v>17</v>
      </c>
      <c r="E52" s="10" t="s">
        <v>22</v>
      </c>
      <c r="F52" s="12"/>
      <c r="G52" s="12"/>
      <c r="H52" s="12"/>
      <c r="I52" s="12"/>
      <c r="J52" s="12"/>
      <c r="K52" s="12"/>
      <c r="L52" s="12"/>
    </row>
    <row r="53" spans="1:12" ht="13.8" x14ac:dyDescent="0.25">
      <c r="A53" s="10">
        <v>46</v>
      </c>
      <c r="B53" s="11" t="s">
        <v>118</v>
      </c>
      <c r="C53" s="10" t="s">
        <v>119</v>
      </c>
      <c r="D53" s="10" t="s">
        <v>28</v>
      </c>
      <c r="E53" s="10" t="s">
        <v>18</v>
      </c>
      <c r="F53" s="12"/>
      <c r="G53" s="12"/>
      <c r="H53" s="12"/>
      <c r="I53" s="12"/>
      <c r="J53" s="12"/>
      <c r="K53" s="12"/>
      <c r="L53" s="12"/>
    </row>
    <row r="54" spans="1:12" ht="13.8" x14ac:dyDescent="0.25">
      <c r="A54" s="10">
        <v>47</v>
      </c>
      <c r="B54" s="11" t="s">
        <v>120</v>
      </c>
      <c r="C54" s="10" t="s">
        <v>121</v>
      </c>
      <c r="D54" s="10" t="s">
        <v>28</v>
      </c>
      <c r="E54" s="10" t="s">
        <v>62</v>
      </c>
      <c r="F54" s="12"/>
      <c r="G54" s="12"/>
      <c r="H54" s="12"/>
      <c r="I54" s="12"/>
      <c r="J54" s="12"/>
      <c r="K54" s="12"/>
      <c r="L54" s="12"/>
    </row>
    <row r="55" spans="1:12" ht="13.8" x14ac:dyDescent="0.25">
      <c r="A55" s="10">
        <v>48</v>
      </c>
      <c r="B55" s="11" t="s">
        <v>122</v>
      </c>
      <c r="C55" s="10" t="s">
        <v>123</v>
      </c>
      <c r="D55" s="10" t="s">
        <v>17</v>
      </c>
      <c r="E55" s="10" t="s">
        <v>32</v>
      </c>
      <c r="F55" s="12"/>
      <c r="G55" s="12"/>
      <c r="H55" s="12"/>
      <c r="I55" s="12"/>
      <c r="J55" s="12"/>
      <c r="K55" s="12"/>
      <c r="L55" s="12"/>
    </row>
    <row r="56" spans="1:12" ht="13.8" x14ac:dyDescent="0.25">
      <c r="A56" s="10">
        <v>49</v>
      </c>
      <c r="B56" s="11" t="s">
        <v>124</v>
      </c>
      <c r="C56" s="10" t="s">
        <v>125</v>
      </c>
      <c r="D56" s="10" t="s">
        <v>21</v>
      </c>
      <c r="E56" s="10" t="s">
        <v>29</v>
      </c>
      <c r="F56" s="12"/>
      <c r="G56" s="12"/>
      <c r="H56" s="12"/>
      <c r="I56" s="12"/>
      <c r="J56" s="12"/>
      <c r="K56" s="12"/>
      <c r="L56" s="12"/>
    </row>
    <row r="57" spans="1:12" ht="13.8" x14ac:dyDescent="0.25">
      <c r="A57" s="10">
        <v>50</v>
      </c>
      <c r="B57" s="11" t="s">
        <v>126</v>
      </c>
      <c r="C57" s="10" t="s">
        <v>127</v>
      </c>
      <c r="D57" s="10" t="s">
        <v>28</v>
      </c>
      <c r="E57" s="10" t="s">
        <v>40</v>
      </c>
      <c r="F57" s="12"/>
      <c r="G57" s="12"/>
      <c r="H57" s="12"/>
      <c r="I57" s="12"/>
      <c r="J57" s="12"/>
      <c r="K57" s="12"/>
      <c r="L57" s="12"/>
    </row>
    <row r="58" spans="1:12" ht="13.8" x14ac:dyDescent="0.25">
      <c r="A58" s="10">
        <v>51</v>
      </c>
      <c r="B58" s="11" t="s">
        <v>128</v>
      </c>
      <c r="C58" s="10" t="s">
        <v>129</v>
      </c>
      <c r="D58" s="10" t="s">
        <v>28</v>
      </c>
      <c r="E58" s="10" t="s">
        <v>22</v>
      </c>
      <c r="F58" s="12"/>
      <c r="G58" s="12"/>
      <c r="H58" s="12"/>
      <c r="I58" s="12"/>
      <c r="J58" s="12"/>
      <c r="K58" s="12"/>
      <c r="L58" s="12"/>
    </row>
    <row r="59" spans="1:12" ht="13.8" x14ac:dyDescent="0.25">
      <c r="A59" s="10">
        <v>52</v>
      </c>
      <c r="B59" s="11" t="s">
        <v>130</v>
      </c>
      <c r="C59" s="10" t="s">
        <v>131</v>
      </c>
      <c r="D59" s="10" t="s">
        <v>28</v>
      </c>
      <c r="E59" s="10" t="s">
        <v>18</v>
      </c>
      <c r="F59" s="12"/>
      <c r="G59" s="12"/>
      <c r="H59" s="12"/>
      <c r="I59" s="12"/>
      <c r="J59" s="12"/>
      <c r="K59" s="12"/>
      <c r="L59" s="12"/>
    </row>
    <row r="60" spans="1:12" ht="13.8" x14ac:dyDescent="0.25">
      <c r="A60" s="10">
        <v>53</v>
      </c>
      <c r="B60" s="11" t="s">
        <v>132</v>
      </c>
      <c r="C60" s="10" t="s">
        <v>133</v>
      </c>
      <c r="D60" s="10" t="s">
        <v>28</v>
      </c>
      <c r="E60" s="10" t="s">
        <v>62</v>
      </c>
      <c r="F60" s="12"/>
      <c r="G60" s="12"/>
      <c r="H60" s="12"/>
      <c r="I60" s="12"/>
      <c r="J60" s="12"/>
      <c r="K60" s="12"/>
      <c r="L60" s="12"/>
    </row>
    <row r="61" spans="1:12" ht="13.8" x14ac:dyDescent="0.25">
      <c r="A61" s="10">
        <v>54</v>
      </c>
      <c r="B61" s="11" t="s">
        <v>134</v>
      </c>
      <c r="C61" s="10" t="s">
        <v>135</v>
      </c>
      <c r="D61" s="10" t="s">
        <v>25</v>
      </c>
      <c r="E61" s="10" t="s">
        <v>32</v>
      </c>
      <c r="F61" s="12"/>
      <c r="G61" s="12"/>
      <c r="H61" s="12"/>
      <c r="I61" s="12"/>
      <c r="J61" s="12"/>
      <c r="K61" s="12"/>
      <c r="L61" s="12"/>
    </row>
    <row r="62" spans="1:12" ht="13.8" x14ac:dyDescent="0.25">
      <c r="A62" s="10">
        <v>55</v>
      </c>
      <c r="B62" s="11" t="s">
        <v>136</v>
      </c>
      <c r="C62" s="10" t="s">
        <v>137</v>
      </c>
      <c r="D62" s="10" t="s">
        <v>21</v>
      </c>
      <c r="E62" s="10" t="s">
        <v>18</v>
      </c>
      <c r="F62" s="12"/>
      <c r="G62" s="12"/>
      <c r="H62" s="12"/>
      <c r="I62" s="12"/>
      <c r="J62" s="12"/>
      <c r="K62" s="12"/>
      <c r="L62" s="12"/>
    </row>
    <row r="63" spans="1:12" ht="13.8" x14ac:dyDescent="0.25">
      <c r="A63" s="10">
        <v>56</v>
      </c>
      <c r="B63" s="11" t="s">
        <v>138</v>
      </c>
      <c r="C63" s="10" t="s">
        <v>139</v>
      </c>
      <c r="D63" s="10" t="s">
        <v>25</v>
      </c>
      <c r="E63" s="10" t="s">
        <v>40</v>
      </c>
      <c r="F63" s="12"/>
      <c r="G63" s="12"/>
      <c r="H63" s="12"/>
      <c r="I63" s="12"/>
      <c r="J63" s="12"/>
      <c r="K63" s="12"/>
      <c r="L63" s="12"/>
    </row>
    <row r="64" spans="1:12" ht="13.8" x14ac:dyDescent="0.25">
      <c r="A64" s="10">
        <v>57</v>
      </c>
      <c r="B64" s="11" t="s">
        <v>140</v>
      </c>
      <c r="C64" s="10" t="s">
        <v>141</v>
      </c>
      <c r="D64" s="10" t="s">
        <v>25</v>
      </c>
      <c r="E64" s="10" t="s">
        <v>22</v>
      </c>
      <c r="F64" s="12"/>
      <c r="G64" s="12"/>
      <c r="H64" s="12"/>
      <c r="I64" s="12"/>
      <c r="J64" s="12"/>
      <c r="K64" s="12"/>
      <c r="L64" s="12"/>
    </row>
    <row r="65" spans="1:12" ht="13.8" x14ac:dyDescent="0.25">
      <c r="A65" s="10">
        <v>58</v>
      </c>
      <c r="B65" s="11" t="s">
        <v>142</v>
      </c>
      <c r="C65" s="10" t="s">
        <v>143</v>
      </c>
      <c r="D65" s="10" t="s">
        <v>28</v>
      </c>
      <c r="E65" s="10" t="s">
        <v>18</v>
      </c>
      <c r="F65" s="12"/>
      <c r="G65" s="12"/>
      <c r="H65" s="12"/>
      <c r="I65" s="12"/>
      <c r="J65" s="12"/>
      <c r="K65" s="12"/>
      <c r="L65" s="12"/>
    </row>
    <row r="66" spans="1:12" ht="13.8" x14ac:dyDescent="0.25">
      <c r="A66" s="10">
        <v>59</v>
      </c>
      <c r="B66" s="11" t="s">
        <v>144</v>
      </c>
      <c r="C66" s="10" t="s">
        <v>145</v>
      </c>
      <c r="D66" s="10" t="s">
        <v>25</v>
      </c>
      <c r="E66" s="10" t="s">
        <v>62</v>
      </c>
      <c r="F66" s="12"/>
      <c r="G66" s="12"/>
      <c r="H66" s="12"/>
      <c r="I66" s="12"/>
      <c r="J66" s="12"/>
      <c r="K66" s="12"/>
      <c r="L66" s="12"/>
    </row>
    <row r="67" spans="1:12" ht="13.8" x14ac:dyDescent="0.25">
      <c r="A67" s="10">
        <v>60</v>
      </c>
      <c r="B67" s="11" t="s">
        <v>146</v>
      </c>
      <c r="C67" s="10" t="s">
        <v>147</v>
      </c>
      <c r="D67" s="10" t="s">
        <v>25</v>
      </c>
      <c r="E67" s="10" t="s">
        <v>32</v>
      </c>
      <c r="F67" s="12"/>
      <c r="G67" s="12"/>
      <c r="H67" s="12"/>
      <c r="I67" s="12"/>
      <c r="J67" s="12"/>
      <c r="K67" s="12"/>
      <c r="L67" s="12"/>
    </row>
    <row r="68" spans="1:12" ht="13.8" x14ac:dyDescent="0.25">
      <c r="A68" s="10">
        <v>61</v>
      </c>
      <c r="B68" s="11" t="s">
        <v>148</v>
      </c>
      <c r="C68" s="10" t="s">
        <v>149</v>
      </c>
      <c r="D68" s="10" t="s">
        <v>25</v>
      </c>
      <c r="E68" s="10" t="s">
        <v>22</v>
      </c>
      <c r="F68" s="12"/>
      <c r="G68" s="12"/>
      <c r="H68" s="12"/>
      <c r="I68" s="12"/>
      <c r="J68" s="12"/>
      <c r="K68" s="12"/>
      <c r="L68" s="12"/>
    </row>
    <row r="69" spans="1:12" ht="13.8" x14ac:dyDescent="0.25">
      <c r="A69" s="10">
        <v>62</v>
      </c>
      <c r="B69" s="11" t="s">
        <v>150</v>
      </c>
      <c r="C69" s="10" t="s">
        <v>151</v>
      </c>
      <c r="D69" s="10" t="s">
        <v>17</v>
      </c>
      <c r="E69" s="10" t="s">
        <v>67</v>
      </c>
      <c r="F69" s="12"/>
      <c r="G69" s="12"/>
      <c r="H69" s="12"/>
      <c r="I69" s="12"/>
      <c r="J69" s="12"/>
      <c r="K69" s="12"/>
      <c r="L69" s="12"/>
    </row>
    <row r="70" spans="1:12" ht="13.8" x14ac:dyDescent="0.25">
      <c r="A70" s="10">
        <v>63</v>
      </c>
      <c r="B70" s="11" t="s">
        <v>152</v>
      </c>
      <c r="C70" s="10" t="s">
        <v>153</v>
      </c>
      <c r="D70" s="10" t="s">
        <v>21</v>
      </c>
      <c r="E70" s="10" t="s">
        <v>22</v>
      </c>
      <c r="F70" s="12"/>
      <c r="G70" s="12"/>
      <c r="H70" s="12"/>
      <c r="I70" s="12"/>
      <c r="J70" s="12"/>
      <c r="K70" s="12"/>
      <c r="L70" s="12"/>
    </row>
    <row r="71" spans="1:12" ht="13.8" x14ac:dyDescent="0.25">
      <c r="A71" s="10">
        <v>64</v>
      </c>
      <c r="B71" s="11" t="s">
        <v>154</v>
      </c>
      <c r="C71" s="10" t="s">
        <v>155</v>
      </c>
      <c r="D71" s="10" t="s">
        <v>17</v>
      </c>
      <c r="E71" s="10" t="s">
        <v>32</v>
      </c>
      <c r="F71" s="12"/>
      <c r="G71" s="12"/>
      <c r="H71" s="12"/>
      <c r="I71" s="12"/>
      <c r="J71" s="12"/>
      <c r="K71" s="12"/>
      <c r="L71" s="12"/>
    </row>
    <row r="72" spans="1:12" ht="13.8" x14ac:dyDescent="0.25">
      <c r="A72" s="10">
        <v>65</v>
      </c>
      <c r="B72" s="11" t="s">
        <v>156</v>
      </c>
      <c r="C72" s="10" t="s">
        <v>157</v>
      </c>
      <c r="D72" s="10" t="s">
        <v>25</v>
      </c>
      <c r="E72" s="10" t="s">
        <v>22</v>
      </c>
      <c r="F72" s="12"/>
      <c r="G72" s="12"/>
      <c r="H72" s="12"/>
      <c r="I72" s="12"/>
      <c r="J72" s="12"/>
      <c r="K72" s="12"/>
      <c r="L72" s="12"/>
    </row>
    <row r="73" spans="1:12" ht="13.8" x14ac:dyDescent="0.25">
      <c r="A73" s="10">
        <v>66</v>
      </c>
      <c r="B73" s="11" t="s">
        <v>158</v>
      </c>
      <c r="C73" s="10" t="s">
        <v>159</v>
      </c>
      <c r="D73" s="10" t="s">
        <v>25</v>
      </c>
      <c r="E73" s="10" t="s">
        <v>67</v>
      </c>
      <c r="F73" s="12"/>
      <c r="G73" s="12"/>
      <c r="H73" s="12"/>
      <c r="I73" s="12"/>
      <c r="J73" s="12"/>
      <c r="K73" s="12"/>
      <c r="L73" s="12"/>
    </row>
    <row r="74" spans="1:12" ht="13.8" x14ac:dyDescent="0.25">
      <c r="A74" s="10">
        <v>67</v>
      </c>
      <c r="B74" s="11" t="s">
        <v>160</v>
      </c>
      <c r="C74" s="10" t="s">
        <v>161</v>
      </c>
      <c r="D74" s="10" t="s">
        <v>25</v>
      </c>
      <c r="E74" s="10" t="s">
        <v>22</v>
      </c>
      <c r="F74" s="12"/>
      <c r="G74" s="12"/>
      <c r="H74" s="12"/>
      <c r="I74" s="12"/>
      <c r="J74" s="12"/>
      <c r="K74" s="12"/>
      <c r="L74" s="12"/>
    </row>
    <row r="75" spans="1:12" ht="13.8" x14ac:dyDescent="0.25">
      <c r="A75" s="10">
        <v>68</v>
      </c>
      <c r="B75" s="11" t="s">
        <v>162</v>
      </c>
      <c r="C75" s="10" t="s">
        <v>163</v>
      </c>
      <c r="D75" s="10" t="s">
        <v>28</v>
      </c>
      <c r="E75" s="10" t="s">
        <v>29</v>
      </c>
      <c r="F75" s="12"/>
      <c r="G75" s="12"/>
      <c r="H75" s="12"/>
      <c r="I75" s="12"/>
      <c r="J75" s="12"/>
      <c r="K75" s="12"/>
      <c r="L75" s="12"/>
    </row>
    <row r="76" spans="1:12" ht="13.8" x14ac:dyDescent="0.25">
      <c r="A76" s="10">
        <v>69</v>
      </c>
      <c r="B76" s="11" t="s">
        <v>164</v>
      </c>
      <c r="C76" s="10" t="s">
        <v>165</v>
      </c>
      <c r="D76" s="10" t="s">
        <v>17</v>
      </c>
      <c r="E76" s="10" t="s">
        <v>37</v>
      </c>
      <c r="F76" s="12"/>
      <c r="G76" s="12"/>
      <c r="H76" s="12"/>
      <c r="I76" s="12"/>
      <c r="J76" s="12"/>
      <c r="K76" s="12"/>
      <c r="L76" s="12"/>
    </row>
    <row r="77" spans="1:12" ht="13.8" x14ac:dyDescent="0.25">
      <c r="A77" s="10">
        <v>70</v>
      </c>
      <c r="B77" s="11" t="s">
        <v>166</v>
      </c>
      <c r="C77" s="10" t="s">
        <v>167</v>
      </c>
      <c r="D77" s="10" t="s">
        <v>28</v>
      </c>
      <c r="E77" s="10" t="s">
        <v>40</v>
      </c>
      <c r="F77" s="12"/>
      <c r="G77" s="12"/>
      <c r="H77" s="12"/>
      <c r="I77" s="12"/>
      <c r="J77" s="12"/>
      <c r="K77" s="12"/>
      <c r="L77" s="12"/>
    </row>
    <row r="78" spans="1:12" ht="13.8" x14ac:dyDescent="0.25">
      <c r="A78" s="10">
        <v>71</v>
      </c>
      <c r="B78" s="11" t="s">
        <v>168</v>
      </c>
      <c r="C78" s="10" t="s">
        <v>169</v>
      </c>
      <c r="D78" s="10" t="s">
        <v>21</v>
      </c>
      <c r="E78" s="10" t="s">
        <v>18</v>
      </c>
      <c r="F78" s="12"/>
      <c r="G78" s="12"/>
      <c r="H78" s="12"/>
      <c r="I78" s="12"/>
      <c r="J78" s="12"/>
      <c r="K78" s="12"/>
      <c r="L78" s="12"/>
    </row>
    <row r="79" spans="1:12" ht="13.8" x14ac:dyDescent="0.25">
      <c r="A79" s="10">
        <v>72</v>
      </c>
      <c r="B79" s="11" t="s">
        <v>170</v>
      </c>
      <c r="C79" s="10" t="s">
        <v>171</v>
      </c>
      <c r="D79" s="10" t="s">
        <v>17</v>
      </c>
      <c r="E79" s="10" t="s">
        <v>18</v>
      </c>
      <c r="F79" s="12"/>
      <c r="G79" s="12"/>
      <c r="H79" s="12"/>
      <c r="I79" s="12"/>
      <c r="J79" s="12"/>
      <c r="K79" s="12"/>
      <c r="L79" s="12"/>
    </row>
    <row r="80" spans="1:12" ht="13.8" x14ac:dyDescent="0.25">
      <c r="A80" s="10">
        <v>73</v>
      </c>
      <c r="B80" s="11" t="s">
        <v>172</v>
      </c>
      <c r="C80" s="10" t="s">
        <v>173</v>
      </c>
      <c r="D80" s="10" t="s">
        <v>21</v>
      </c>
      <c r="E80" s="10" t="s">
        <v>18</v>
      </c>
      <c r="F80" s="12"/>
      <c r="G80" s="12"/>
      <c r="H80" s="12"/>
      <c r="I80" s="12"/>
      <c r="J80" s="12"/>
      <c r="K80" s="12"/>
      <c r="L80" s="12"/>
    </row>
    <row r="81" spans="1:12" ht="13.8" x14ac:dyDescent="0.25">
      <c r="A81" s="10">
        <v>74</v>
      </c>
      <c r="B81" s="11" t="s">
        <v>174</v>
      </c>
      <c r="C81" s="10" t="s">
        <v>175</v>
      </c>
      <c r="D81" s="10" t="s">
        <v>21</v>
      </c>
      <c r="E81" s="10" t="s">
        <v>43</v>
      </c>
      <c r="F81" s="12"/>
      <c r="G81" s="12"/>
      <c r="H81" s="12"/>
      <c r="I81" s="12"/>
      <c r="J81" s="12"/>
      <c r="K81" s="12"/>
      <c r="L81" s="12"/>
    </row>
    <row r="82" spans="1:12" ht="13.8" x14ac:dyDescent="0.25">
      <c r="A82" s="10">
        <v>75</v>
      </c>
      <c r="B82" s="11" t="s">
        <v>176</v>
      </c>
      <c r="C82" s="10" t="s">
        <v>177</v>
      </c>
      <c r="D82" s="10" t="s">
        <v>21</v>
      </c>
      <c r="E82" s="10" t="s">
        <v>43</v>
      </c>
      <c r="F82" s="12"/>
      <c r="G82" s="12"/>
      <c r="H82" s="12"/>
      <c r="I82" s="12"/>
      <c r="J82" s="12"/>
      <c r="K82" s="12"/>
      <c r="L82" s="12"/>
    </row>
    <row r="83" spans="1:12" ht="13.8" x14ac:dyDescent="0.25">
      <c r="A83" s="10">
        <v>76</v>
      </c>
      <c r="B83" s="11" t="s">
        <v>178</v>
      </c>
      <c r="C83" s="10" t="s">
        <v>179</v>
      </c>
      <c r="D83" s="10" t="s">
        <v>25</v>
      </c>
      <c r="E83" s="10" t="s">
        <v>18</v>
      </c>
      <c r="F83" s="12"/>
      <c r="G83" s="12"/>
      <c r="H83" s="12"/>
      <c r="I83" s="12"/>
      <c r="J83" s="12"/>
      <c r="K83" s="12"/>
      <c r="L83" s="12"/>
    </row>
    <row r="84" spans="1:12" ht="13.8" x14ac:dyDescent="0.25">
      <c r="A84" s="10">
        <v>77</v>
      </c>
      <c r="B84" s="11" t="s">
        <v>180</v>
      </c>
      <c r="C84" s="10" t="s">
        <v>181</v>
      </c>
      <c r="D84" s="10" t="s">
        <v>17</v>
      </c>
      <c r="E84" s="10" t="s">
        <v>18</v>
      </c>
      <c r="F84" s="12"/>
      <c r="G84" s="12"/>
      <c r="H84" s="12"/>
      <c r="I84" s="12"/>
      <c r="J84" s="12"/>
      <c r="K84" s="12"/>
      <c r="L84" s="12"/>
    </row>
    <row r="85" spans="1:12" ht="13.8" x14ac:dyDescent="0.25">
      <c r="A85" s="10">
        <v>78</v>
      </c>
      <c r="B85" s="11" t="s">
        <v>182</v>
      </c>
      <c r="C85" s="10" t="s">
        <v>183</v>
      </c>
      <c r="D85" s="10" t="s">
        <v>25</v>
      </c>
      <c r="E85" s="10" t="s">
        <v>18</v>
      </c>
      <c r="F85" s="12"/>
      <c r="G85" s="12"/>
      <c r="H85" s="12"/>
      <c r="I85" s="12"/>
      <c r="J85" s="12"/>
      <c r="K85" s="12"/>
      <c r="L85" s="12"/>
    </row>
    <row r="86" spans="1:12" ht="13.8" x14ac:dyDescent="0.25">
      <c r="A86" s="10">
        <v>79</v>
      </c>
      <c r="B86" s="11" t="s">
        <v>184</v>
      </c>
      <c r="C86" s="10" t="s">
        <v>185</v>
      </c>
      <c r="D86" s="10" t="s">
        <v>28</v>
      </c>
      <c r="E86" s="10" t="s">
        <v>29</v>
      </c>
      <c r="F86" s="12"/>
      <c r="G86" s="12"/>
      <c r="H86" s="12"/>
      <c r="I86" s="12"/>
      <c r="J86" s="12"/>
      <c r="K86" s="12"/>
      <c r="L86" s="12"/>
    </row>
    <row r="87" spans="1:12" ht="13.8" x14ac:dyDescent="0.25">
      <c r="A87" s="10">
        <v>80</v>
      </c>
      <c r="B87" s="11" t="s">
        <v>186</v>
      </c>
      <c r="C87" s="10" t="s">
        <v>187</v>
      </c>
      <c r="D87" s="10" t="s">
        <v>21</v>
      </c>
      <c r="E87" s="10" t="s">
        <v>37</v>
      </c>
      <c r="F87" s="12"/>
      <c r="G87" s="12"/>
      <c r="H87" s="12"/>
      <c r="I87" s="12"/>
      <c r="J87" s="12"/>
      <c r="K87" s="12"/>
      <c r="L87" s="12"/>
    </row>
    <row r="88" spans="1:12" ht="13.8" x14ac:dyDescent="0.25">
      <c r="A88" s="10">
        <v>81</v>
      </c>
      <c r="B88" s="11" t="s">
        <v>188</v>
      </c>
      <c r="C88" s="10" t="s">
        <v>189</v>
      </c>
      <c r="D88" s="10" t="s">
        <v>17</v>
      </c>
      <c r="E88" s="10" t="s">
        <v>40</v>
      </c>
      <c r="F88" s="12"/>
      <c r="G88" s="12"/>
      <c r="H88" s="12"/>
      <c r="I88" s="12"/>
      <c r="J88" s="12"/>
      <c r="K88" s="12"/>
      <c r="L88" s="12"/>
    </row>
    <row r="89" spans="1:12" ht="13.8" x14ac:dyDescent="0.25">
      <c r="A89" s="10">
        <v>82</v>
      </c>
      <c r="B89" s="11" t="s">
        <v>190</v>
      </c>
      <c r="C89" s="10" t="s">
        <v>191</v>
      </c>
      <c r="D89" s="10" t="s">
        <v>28</v>
      </c>
      <c r="E89" s="10" t="s">
        <v>32</v>
      </c>
      <c r="F89" s="12"/>
      <c r="G89" s="12"/>
      <c r="H89" s="12"/>
      <c r="I89" s="12"/>
      <c r="J89" s="12"/>
      <c r="K89" s="12"/>
      <c r="L89" s="12"/>
    </row>
    <row r="90" spans="1:12" ht="13.8" x14ac:dyDescent="0.25">
      <c r="A90" s="10">
        <v>83</v>
      </c>
      <c r="B90" s="11" t="s">
        <v>192</v>
      </c>
      <c r="C90" s="10" t="s">
        <v>193</v>
      </c>
      <c r="D90" s="10" t="s">
        <v>28</v>
      </c>
      <c r="E90" s="10" t="s">
        <v>22</v>
      </c>
      <c r="F90" s="12"/>
      <c r="G90" s="12"/>
      <c r="H90" s="12"/>
      <c r="I90" s="12"/>
      <c r="J90" s="12"/>
      <c r="K90" s="12"/>
      <c r="L90" s="12"/>
    </row>
    <row r="91" spans="1:12" ht="13.8" x14ac:dyDescent="0.25">
      <c r="A91" s="10">
        <v>84</v>
      </c>
      <c r="B91" s="11" t="s">
        <v>194</v>
      </c>
      <c r="C91" s="10" t="s">
        <v>195</v>
      </c>
      <c r="D91" s="10" t="s">
        <v>25</v>
      </c>
      <c r="E91" s="10" t="s">
        <v>67</v>
      </c>
      <c r="F91" s="12"/>
      <c r="G91" s="12"/>
      <c r="H91" s="12"/>
      <c r="I91" s="12"/>
      <c r="J91" s="12"/>
      <c r="K91" s="12"/>
      <c r="L91" s="12"/>
    </row>
    <row r="92" spans="1:12" ht="13.8" x14ac:dyDescent="0.25">
      <c r="A92" s="10">
        <v>85</v>
      </c>
      <c r="B92" s="11" t="s">
        <v>196</v>
      </c>
      <c r="C92" s="10" t="s">
        <v>197</v>
      </c>
      <c r="D92" s="10" t="s">
        <v>28</v>
      </c>
      <c r="E92" s="10" t="s">
        <v>22</v>
      </c>
      <c r="F92" s="12"/>
      <c r="G92" s="12"/>
      <c r="H92" s="12"/>
      <c r="I92" s="12"/>
      <c r="J92" s="12"/>
      <c r="K92" s="12"/>
      <c r="L92" s="12"/>
    </row>
  </sheetData>
  <dataValidations count="3">
    <dataValidation type="list" allowBlank="1" showDropDown="1" showErrorMessage="1" sqref="D8:D92" xr:uid="{884EA5CC-5A84-4CFB-8CAA-BDF3FA33B25B}">
      <formula1>"Finance,Human Resources,Forensic,Sales"</formula1>
    </dataValidation>
    <dataValidation type="custom" allowBlank="1" showDropDown="1" sqref="A8:A92" xr:uid="{5D28D37B-16A1-4BD7-9BE9-997DA42AE032}">
      <formula1>AND(ISNUMBER(A8),(NOT(OR(NOT(ISERROR(DATEVALUE(A8))), AND(ISNUMBER(A8), LEFT(CELL("format", A8))="D")))))</formula1>
    </dataValidation>
    <dataValidation type="list" allowBlank="1" showDropDown="1" showErrorMessage="1" sqref="E8:E92" xr:uid="{0DA99C4B-A613-4636-B717-FA28287443E5}">
      <formula1>"Semi Senior,ESA,Senior 3,Senior 2,Manager,Senior Manager,Director,Senior 1,SA"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showGridLines="0" workbookViewId="0">
      <selection activeCell="J20" sqref="J20"/>
    </sheetView>
  </sheetViews>
  <sheetFormatPr defaultColWidth="12.6640625" defaultRowHeight="15" customHeight="1" x14ac:dyDescent="0.25"/>
  <cols>
    <col min="1" max="1" width="8.6640625" customWidth="1"/>
    <col min="2" max="2" width="16" customWidth="1"/>
    <col min="3" max="9" width="14" customWidth="1"/>
    <col min="10" max="11" width="8.6640625" customWidth="1"/>
    <col min="12" max="12" width="28.6640625" customWidth="1"/>
    <col min="13" max="26" width="8.6640625" customWidth="1"/>
  </cols>
  <sheetData>
    <row r="1" spans="1:13" ht="12.75" customHeight="1" x14ac:dyDescent="0.3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2.75" customHeight="1" x14ac:dyDescent="0.4">
      <c r="A2" s="3"/>
      <c r="B2" s="4"/>
      <c r="C2" s="4"/>
      <c r="D2" s="4"/>
      <c r="E2" s="4"/>
      <c r="F2" s="4"/>
      <c r="G2" s="4"/>
      <c r="H2" s="3"/>
      <c r="I2" s="4"/>
      <c r="J2" s="4"/>
      <c r="K2" s="4"/>
      <c r="L2" s="4"/>
      <c r="M2" s="4"/>
    </row>
    <row r="3" spans="1:13" ht="12.75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12.75" customHeight="1" x14ac:dyDescent="0.3">
      <c r="A4" s="5" t="s">
        <v>198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12.75" customHeight="1" x14ac:dyDescent="0.3">
      <c r="A5" s="13" t="s">
        <v>199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12.75" customHeight="1" x14ac:dyDescent="0.25">
      <c r="A6" s="2"/>
      <c r="B6" s="14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ht="12.75" customHeight="1" x14ac:dyDescent="0.25">
      <c r="A7" s="2"/>
      <c r="B7" s="15" t="s">
        <v>200</v>
      </c>
      <c r="C7" s="16" t="s">
        <v>201</v>
      </c>
      <c r="D7" s="16" t="s">
        <v>9</v>
      </c>
      <c r="E7" s="16" t="s">
        <v>10</v>
      </c>
      <c r="F7" s="16" t="s">
        <v>11</v>
      </c>
      <c r="G7" s="16" t="s">
        <v>12</v>
      </c>
      <c r="H7" s="16" t="s">
        <v>13</v>
      </c>
      <c r="I7" s="16" t="s">
        <v>202</v>
      </c>
      <c r="J7" s="2"/>
      <c r="K7" s="2"/>
      <c r="L7" s="2"/>
      <c r="M7" s="2"/>
    </row>
    <row r="8" spans="1:13" ht="19.5" customHeight="1" x14ac:dyDescent="0.25">
      <c r="A8" s="2"/>
      <c r="B8" s="17" t="s">
        <v>67</v>
      </c>
      <c r="C8" s="18">
        <v>310648</v>
      </c>
      <c r="D8" s="18">
        <v>150000</v>
      </c>
      <c r="E8" s="18">
        <v>20000</v>
      </c>
      <c r="F8" s="18">
        <v>31064.800000000003</v>
      </c>
      <c r="G8" s="18">
        <v>5000</v>
      </c>
      <c r="H8" s="18">
        <v>10000</v>
      </c>
      <c r="I8" s="18">
        <v>526712.80000000005</v>
      </c>
      <c r="J8" s="2"/>
      <c r="K8" s="2"/>
      <c r="L8" s="2"/>
      <c r="M8" s="2"/>
    </row>
    <row r="9" spans="1:13" ht="19.5" customHeight="1" x14ac:dyDescent="0.25">
      <c r="A9" s="2"/>
      <c r="B9" s="17" t="s">
        <v>22</v>
      </c>
      <c r="C9" s="18">
        <v>415159</v>
      </c>
      <c r="D9" s="18">
        <v>150000</v>
      </c>
      <c r="E9" s="18">
        <v>20000</v>
      </c>
      <c r="F9" s="18">
        <v>41515.9</v>
      </c>
      <c r="G9" s="18">
        <v>5000</v>
      </c>
      <c r="H9" s="18">
        <v>10000</v>
      </c>
      <c r="I9" s="18">
        <v>641675.9</v>
      </c>
      <c r="J9" s="2"/>
      <c r="K9" s="2"/>
      <c r="L9" s="2"/>
      <c r="M9" s="2"/>
    </row>
    <row r="10" spans="1:13" ht="19.5" customHeight="1" x14ac:dyDescent="0.25">
      <c r="A10" s="2"/>
      <c r="B10" s="17" t="s">
        <v>18</v>
      </c>
      <c r="C10" s="18">
        <v>483646</v>
      </c>
      <c r="D10" s="18">
        <v>150000</v>
      </c>
      <c r="E10" s="18">
        <v>20000</v>
      </c>
      <c r="F10" s="18">
        <v>48364.600000000006</v>
      </c>
      <c r="G10" s="18">
        <v>5000</v>
      </c>
      <c r="H10" s="18">
        <v>10000</v>
      </c>
      <c r="I10" s="18">
        <v>717012.6</v>
      </c>
      <c r="J10" s="2"/>
      <c r="K10" s="2"/>
      <c r="L10" s="2"/>
      <c r="M10" s="2"/>
    </row>
    <row r="11" spans="1:13" ht="19.5" customHeight="1" x14ac:dyDescent="0.25">
      <c r="A11" s="2"/>
      <c r="B11" s="17" t="s">
        <v>62</v>
      </c>
      <c r="C11" s="18">
        <v>495507</v>
      </c>
      <c r="D11" s="18">
        <v>150000</v>
      </c>
      <c r="E11" s="18">
        <v>20000</v>
      </c>
      <c r="F11" s="18">
        <v>49550.700000000004</v>
      </c>
      <c r="G11" s="18">
        <v>5000</v>
      </c>
      <c r="H11" s="18">
        <v>10000</v>
      </c>
      <c r="I11" s="18">
        <v>730060.7</v>
      </c>
      <c r="J11" s="2"/>
      <c r="K11" s="2"/>
    </row>
    <row r="12" spans="1:13" ht="19.5" customHeight="1" x14ac:dyDescent="0.25">
      <c r="A12" s="2"/>
      <c r="B12" s="17" t="s">
        <v>32</v>
      </c>
      <c r="C12" s="18">
        <v>550208</v>
      </c>
      <c r="D12" s="18">
        <v>150000</v>
      </c>
      <c r="E12" s="18">
        <v>20000</v>
      </c>
      <c r="F12" s="18">
        <v>55020.800000000003</v>
      </c>
      <c r="G12" s="18">
        <v>5000</v>
      </c>
      <c r="H12" s="18">
        <v>10000</v>
      </c>
      <c r="I12" s="18">
        <v>790232.8</v>
      </c>
      <c r="J12" s="2"/>
      <c r="K12" s="2"/>
    </row>
    <row r="13" spans="1:13" ht="19.5" customHeight="1" x14ac:dyDescent="0.25">
      <c r="A13" s="2"/>
      <c r="B13" s="17" t="s">
        <v>29</v>
      </c>
      <c r="C13" s="18">
        <v>685899</v>
      </c>
      <c r="D13" s="18">
        <v>150000</v>
      </c>
      <c r="E13" s="18">
        <v>20000</v>
      </c>
      <c r="F13" s="18">
        <v>68589.900000000009</v>
      </c>
      <c r="G13" s="18">
        <v>5000</v>
      </c>
      <c r="H13" s="18">
        <v>10000</v>
      </c>
      <c r="I13" s="18">
        <v>939493.9</v>
      </c>
      <c r="J13" s="2"/>
      <c r="K13" s="2"/>
    </row>
    <row r="14" spans="1:13" ht="19.5" customHeight="1" x14ac:dyDescent="0.25">
      <c r="A14" s="2"/>
      <c r="B14" s="17" t="s">
        <v>37</v>
      </c>
      <c r="C14" s="18">
        <v>810490</v>
      </c>
      <c r="D14" s="18">
        <v>150000</v>
      </c>
      <c r="E14" s="18">
        <v>20000</v>
      </c>
      <c r="F14" s="18">
        <v>81049</v>
      </c>
      <c r="G14" s="18">
        <v>5000</v>
      </c>
      <c r="H14" s="18">
        <v>10000</v>
      </c>
      <c r="I14" s="18">
        <v>1076545</v>
      </c>
      <c r="J14" s="2"/>
      <c r="K14" s="2"/>
    </row>
    <row r="15" spans="1:13" ht="19.5" customHeight="1" x14ac:dyDescent="0.25">
      <c r="A15" s="2"/>
      <c r="B15" s="17" t="s">
        <v>40</v>
      </c>
      <c r="C15" s="18">
        <v>918468</v>
      </c>
      <c r="D15" s="18">
        <v>150000</v>
      </c>
      <c r="E15" s="18">
        <v>20000</v>
      </c>
      <c r="F15" s="18">
        <v>91846.8</v>
      </c>
      <c r="G15" s="18">
        <v>5000</v>
      </c>
      <c r="H15" s="18">
        <v>10000</v>
      </c>
      <c r="I15" s="18">
        <v>1195321.8</v>
      </c>
      <c r="J15" s="2"/>
      <c r="K15" s="2"/>
      <c r="L15" s="2"/>
      <c r="M15" s="2"/>
    </row>
    <row r="16" spans="1:13" ht="19.5" customHeight="1" x14ac:dyDescent="0.25">
      <c r="A16" s="2"/>
      <c r="B16" s="17" t="s">
        <v>43</v>
      </c>
      <c r="C16" s="18">
        <v>997605</v>
      </c>
      <c r="D16" s="18">
        <v>150000</v>
      </c>
      <c r="E16" s="18">
        <v>20000</v>
      </c>
      <c r="F16" s="18">
        <v>99760.5</v>
      </c>
      <c r="G16" s="18">
        <v>5000</v>
      </c>
      <c r="H16" s="18">
        <v>10000</v>
      </c>
      <c r="I16" s="18">
        <v>1282373.5</v>
      </c>
      <c r="J16" s="2"/>
      <c r="K16" s="2"/>
      <c r="L16" s="2"/>
      <c r="M16" s="2"/>
    </row>
    <row r="17" spans="1:13" ht="12.75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ht="12.7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ht="12.75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ht="12.7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ht="12.7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ht="12.7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ht="12.7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ht="12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ht="12.75" customHeight="1" x14ac:dyDescent="0.25"/>
    <row r="26" spans="1:13" ht="12.75" customHeight="1" x14ac:dyDescent="0.25"/>
    <row r="27" spans="1:13" ht="12.75" customHeight="1" x14ac:dyDescent="0.25"/>
    <row r="28" spans="1:13" ht="12.75" customHeight="1" x14ac:dyDescent="0.25"/>
    <row r="29" spans="1:13" ht="12.75" customHeight="1" x14ac:dyDescent="0.25"/>
    <row r="30" spans="1:13" ht="12.75" customHeight="1" x14ac:dyDescent="0.25"/>
    <row r="31" spans="1:13" ht="12.75" customHeight="1" x14ac:dyDescent="0.25"/>
    <row r="32" spans="1:13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Database</vt:lpstr>
      <vt:lpstr>XLOOKUP Practice</vt:lpstr>
      <vt:lpstr>Simple Salary Structure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Muhsin Hameed</dc:creator>
  <cp:lastModifiedBy>Ade Adetosoye</cp:lastModifiedBy>
  <dcterms:created xsi:type="dcterms:W3CDTF">2024-08-29T11:57:18Z</dcterms:created>
  <dcterms:modified xsi:type="dcterms:W3CDTF">2025-07-14T12:13:17Z</dcterms:modified>
</cp:coreProperties>
</file>