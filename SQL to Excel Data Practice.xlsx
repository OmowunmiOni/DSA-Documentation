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wUser\Downloads\"/>
    </mc:Choice>
  </mc:AlternateContent>
  <xr:revisionPtr revIDLastSave="0" documentId="13_ncr:1_{EF124DA4-AE13-4E88-A38E-85939F81286F}" xr6:coauthVersionLast="47" xr6:coauthVersionMax="47" xr10:uidLastSave="{00000000-0000-0000-0000-000000000000}"/>
  <bookViews>
    <workbookView xWindow="-108" yWindow="-108" windowWidth="23256" windowHeight="14016" activeTab="1" xr2:uid="{2DD74A19-FA86-4E59-AE2E-7313C08D80F6}"/>
  </bookViews>
  <sheets>
    <sheet name="vw_DSA_Mall_Transaction" sheetId="2" r:id="rId1"/>
    <sheet name="Cleaned Data" sheetId="1" r:id="rId2"/>
  </sheets>
  <definedNames>
    <definedName name="ExternalData_1" localSheetId="0" hidden="1">vw_DSA_Mall_Transaction!$A$1:$L$50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3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7" i="1"/>
  <c r="G6" i="1"/>
  <c r="G5" i="1"/>
  <c r="G4" i="1"/>
  <c r="G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2" i="2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2" i="2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2" i="2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7AA839-B09D-40F6-AFBE-7CBB112AE8CC}" keepAlive="1" name="Query - vw_DSA_Mall_Transaction" description="Connection to the 'vw_DSA_Mall_Transaction' query in the workbook." type="5" refreshedVersion="8" background="1" saveData="1">
    <dbPr connection="Provider=Microsoft.Mashup.OleDb.1;Data Source=$Workbook$;Location=vw_DSA_Mall_Transaction;Extended Properties=&quot;&quot;" command="SELECT * FROM [vw_DSA_Mall_Transaction]"/>
  </connection>
</connections>
</file>

<file path=xl/sharedStrings.xml><?xml version="1.0" encoding="utf-8"?>
<sst xmlns="http://schemas.openxmlformats.org/spreadsheetml/2006/main" count="314" uniqueCount="126">
  <si>
    <t>BRANCH</t>
  </si>
  <si>
    <t>CUSTOMER ID</t>
  </si>
  <si>
    <t>FIRST NAME</t>
  </si>
  <si>
    <t>LAST NAME</t>
  </si>
  <si>
    <t>GENDER</t>
  </si>
  <si>
    <t>DATE</t>
  </si>
  <si>
    <t>ADDRESS</t>
  </si>
  <si>
    <t>TRANSACTION AMOUNT</t>
  </si>
  <si>
    <t>DSA MALL GHANA</t>
  </si>
  <si>
    <t>Femk</t>
  </si>
  <si>
    <t>abdukl</t>
  </si>
  <si>
    <t>male</t>
  </si>
  <si>
    <t>9 old road</t>
  </si>
  <si>
    <t>isaiah</t>
  </si>
  <si>
    <t>john</t>
  </si>
  <si>
    <t>igbayin</t>
  </si>
  <si>
    <t>elizabeth</t>
  </si>
  <si>
    <t>female</t>
  </si>
  <si>
    <t>100 kukuma street, epe</t>
  </si>
  <si>
    <t>emma</t>
  </si>
  <si>
    <t>abu</t>
  </si>
  <si>
    <t>7 ababa street, makunn</t>
  </si>
  <si>
    <t>oge</t>
  </si>
  <si>
    <t>kunle</t>
  </si>
  <si>
    <t>10 iwo street, liverpool</t>
  </si>
  <si>
    <t>kara</t>
  </si>
  <si>
    <t>ogun</t>
  </si>
  <si>
    <t>10 hahroh road, ottawa</t>
  </si>
  <si>
    <t>sunkanmi</t>
  </si>
  <si>
    <t>osagie</t>
  </si>
  <si>
    <t>9 agric butstop street, okun</t>
  </si>
  <si>
    <t>marvelous</t>
  </si>
  <si>
    <t>jerremy</t>
  </si>
  <si>
    <t>9 jo grey quarter, igbo</t>
  </si>
  <si>
    <t>mummry</t>
  </si>
  <si>
    <t>akinbho</t>
  </si>
  <si>
    <t>9 babaoluwa quarter, ipaha</t>
  </si>
  <si>
    <t>latana</t>
  </si>
  <si>
    <t>9 ifelofudn quarter, ado</t>
  </si>
  <si>
    <t>Adewale</t>
  </si>
  <si>
    <t>Eleshoh</t>
  </si>
  <si>
    <t>plot 10 Agric road, Ado-Lekki</t>
  </si>
  <si>
    <t>Gerald</t>
  </si>
  <si>
    <t>Male</t>
  </si>
  <si>
    <t>9 Marteen Quarter, liverpool</t>
  </si>
  <si>
    <t>Debbry</t>
  </si>
  <si>
    <t>Alex</t>
  </si>
  <si>
    <t>89  Maroko street, ottawa</t>
  </si>
  <si>
    <t>Alexander</t>
  </si>
  <si>
    <t>Plot 1233 butstop street, Ikeja</t>
  </si>
  <si>
    <t>Saraki</t>
  </si>
  <si>
    <t>Abu</t>
  </si>
  <si>
    <t>Plot ozambe madiwa, Makunn</t>
  </si>
  <si>
    <t>DSA MALL IKEJA</t>
  </si>
  <si>
    <t>ramesh</t>
  </si>
  <si>
    <t>8 ahmed road</t>
  </si>
  <si>
    <t>orobiyi</t>
  </si>
  <si>
    <t>kekerekun</t>
  </si>
  <si>
    <t>88 malele road, ijebu</t>
  </si>
  <si>
    <t>alade</t>
  </si>
  <si>
    <t>9 orebiyi street, okun</t>
  </si>
  <si>
    <t>malik</t>
  </si>
  <si>
    <t>delhi</t>
  </si>
  <si>
    <t>2 agriiv stree, makunn</t>
  </si>
  <si>
    <t>igbati</t>
  </si>
  <si>
    <t>bunmi</t>
  </si>
  <si>
    <t>90 delhi street, abeokunta</t>
  </si>
  <si>
    <t>khilan</t>
  </si>
  <si>
    <t>9 delhi stree, okun</t>
  </si>
  <si>
    <t>Bunmi</t>
  </si>
  <si>
    <t>Female</t>
  </si>
  <si>
    <t>Alake</t>
  </si>
  <si>
    <t>alagbo</t>
  </si>
  <si>
    <t>Laropale</t>
  </si>
  <si>
    <t>Jeremiah</t>
  </si>
  <si>
    <t>9 Makun Ododo Quarter, Lissa</t>
  </si>
  <si>
    <t>Samuel</t>
  </si>
  <si>
    <t>Orokpo</t>
  </si>
  <si>
    <t>88 old Ife road, ijebu</t>
  </si>
  <si>
    <t>Abdulmalik</t>
  </si>
  <si>
    <t>Huedeyin</t>
  </si>
  <si>
    <t>2 Hedeyin road, Lakowe</t>
  </si>
  <si>
    <t>DSA MALL PORT_HARCOURT</t>
  </si>
  <si>
    <t>Gabriel</t>
  </si>
  <si>
    <t>Abdulkalid</t>
  </si>
  <si>
    <t>5 old road, Opebi</t>
  </si>
  <si>
    <t>Abraham</t>
  </si>
  <si>
    <t>22 Toyin street, Opebi</t>
  </si>
  <si>
    <t>100 kukuma street, Opebi</t>
  </si>
  <si>
    <t xml:space="preserve">Brandeis </t>
  </si>
  <si>
    <t>Marshall</t>
  </si>
  <si>
    <t>Oge</t>
  </si>
  <si>
    <t>Gbenga</t>
  </si>
  <si>
    <t>10 Hosiptal street, Allen Avenue</t>
  </si>
  <si>
    <t>Kaosata</t>
  </si>
  <si>
    <t>Michael</t>
  </si>
  <si>
    <t>10 Awolowo road, Ikeja</t>
  </si>
  <si>
    <t>Oluwakemi</t>
  </si>
  <si>
    <t>Marvelous</t>
  </si>
  <si>
    <t>10 Marvelous road, Ottawa</t>
  </si>
  <si>
    <t>Johnson</t>
  </si>
  <si>
    <t>Fournier</t>
  </si>
  <si>
    <t>9 Blackburn road, okun</t>
  </si>
  <si>
    <t>Emmanuel</t>
  </si>
  <si>
    <t>Abubakar</t>
  </si>
  <si>
    <t>7 Aboaba street, Ikeja</t>
  </si>
  <si>
    <t>9Toyin quarter, Allen Avenue</t>
  </si>
  <si>
    <t>Akpabio</t>
  </si>
  <si>
    <t>Akinbho</t>
  </si>
  <si>
    <t>9 Akinola street, Ikeja</t>
  </si>
  <si>
    <t>9 ifelofudn quarter, Opebi</t>
  </si>
  <si>
    <t>Kozyrkov</t>
  </si>
  <si>
    <t>Arguelles</t>
  </si>
  <si>
    <t>Adeloloa</t>
  </si>
  <si>
    <t>Jacob</t>
  </si>
  <si>
    <t>Cassie</t>
  </si>
  <si>
    <t>Yegge</t>
  </si>
  <si>
    <t>9 agric butstop street, Allen</t>
  </si>
  <si>
    <t>Steve</t>
  </si>
  <si>
    <t>Column1</t>
  </si>
  <si>
    <t>Column2</t>
  </si>
  <si>
    <t>Column3</t>
  </si>
  <si>
    <t>Column4</t>
  </si>
  <si>
    <t>DSA MALL PORT HARCOURT</t>
  </si>
  <si>
    <t>22 alaly street, okun</t>
  </si>
  <si>
    <t>abdul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</si>
</sst>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43" fontId="0" fillId="0" borderId="0" xfId="1" applyFont="1"/>
    <xf numFmtId="0" fontId="2" fillId="0" borderId="0" xfId="0" applyFont="1" applyAlignment="1">
      <alignment horizontal="center"/>
    </xf>
    <xf numFmtId="0" fontId="0" fillId="0" borderId="1" xfId="0" applyNumberFormat="1" applyFont="1" applyBorder="1"/>
    <xf numFmtId="0" fontId="0" fillId="2" borderId="1" xfId="0" applyNumberFormat="1" applyFont="1" applyFill="1" applyBorder="1"/>
  </cellXfs>
  <cellStyles count="2">
    <cellStyle name="Comma" xfId="1" builtinId="3"/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2B5DD36-6E5D-40A5-8414-EE9A962FDF70}" autoFormatId="16" applyNumberFormats="0" applyBorderFormats="0" applyFontFormats="0" applyPatternFormats="0" applyAlignmentFormats="0" applyWidthHeightFormats="0">
  <queryTableRefresh nextId="13">
    <queryTableFields count="12">
      <queryTableField id="1" name="BRANCH" tableColumnId="1"/>
      <queryTableField id="2" name="CUSTOMER ID" tableColumnId="2"/>
      <queryTableField id="3" name="FIRST NAME" tableColumnId="3"/>
      <queryTableField id="9" dataBound="0" tableColumnId="9"/>
      <queryTableField id="4" name="LAST NAME" tableColumnId="4"/>
      <queryTableField id="10" dataBound="0" tableColumnId="10"/>
      <queryTableField id="5" name="GENDER" tableColumnId="5"/>
      <queryTableField id="11" dataBound="0" tableColumnId="11"/>
      <queryTableField id="6" name="DATE" tableColumnId="6"/>
      <queryTableField id="7" name="ADDRESS" tableColumnId="7"/>
      <queryTableField id="12" dataBound="0" tableColumnId="12"/>
      <queryTableField id="8" name="TRANSACTION AMOUN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E43704-CAF7-464D-8BAB-8E8A90D81773}" name="vw_DSA_Mall_Transaction" displayName="vw_DSA_Mall_Transaction" ref="A1:L50" tableType="queryTable" totalsRowShown="0">
  <autoFilter ref="A1:L50" xr:uid="{73E43704-CAF7-464D-8BAB-8E8A90D81773}"/>
  <tableColumns count="12">
    <tableColumn id="1" xr3:uid="{62F37CDE-DCC3-4DC1-8A1D-B21F9B73FC52}" uniqueName="1" name="BRANCH" queryTableFieldId="1" dataDxfId="9"/>
    <tableColumn id="2" xr3:uid="{7A1510EB-0047-4E50-AC5A-2E3D5B50AE93}" uniqueName="2" name="CUSTOMER ID" queryTableFieldId="2"/>
    <tableColumn id="3" xr3:uid="{801C04DD-C2B2-410D-8433-F324B00F6787}" uniqueName="3" name="FIRST NAME" queryTableFieldId="3" dataDxfId="8"/>
    <tableColumn id="9" xr3:uid="{7E3CB4E0-49B5-467D-BCDC-E7AF9F4D09E6}" uniqueName="9" name="Column1" queryTableFieldId="9" dataDxfId="3">
      <calculatedColumnFormula>PROPER(vw_DSA_Mall_Transaction[[#This Row],[FIRST NAME]])</calculatedColumnFormula>
    </tableColumn>
    <tableColumn id="4" xr3:uid="{FFC50629-AE2D-4AE0-8231-EF3172C32AE5}" uniqueName="4" name="LAST NAME" queryTableFieldId="4" dataDxfId="7"/>
    <tableColumn id="10" xr3:uid="{CDAE44EA-FE74-4298-A553-AFEA90B593C6}" uniqueName="10" name="Column2" queryTableFieldId="10" dataDxfId="2">
      <calculatedColumnFormula>PROPER(vw_DSA_Mall_Transaction[[#This Row],[LAST NAME]])</calculatedColumnFormula>
    </tableColumn>
    <tableColumn id="5" xr3:uid="{088A70E6-0150-4EFE-9ED7-D601F5413E57}" uniqueName="5" name="GENDER" queryTableFieldId="5" dataDxfId="6"/>
    <tableColumn id="11" xr3:uid="{D567533A-3E99-459C-84DD-39115F6A318D}" uniqueName="11" name="Column3" queryTableFieldId="11" dataDxfId="1">
      <calculatedColumnFormula>PROPER(vw_DSA_Mall_Transaction[[#This Row],[GENDER]])</calculatedColumnFormula>
    </tableColumn>
    <tableColumn id="6" xr3:uid="{EFAF4B6F-D247-441F-A401-28D639594E75}" uniqueName="6" name="DATE" queryTableFieldId="6" dataDxfId="5"/>
    <tableColumn id="7" xr3:uid="{1A4508ED-206F-4A6C-B5E4-6B3228A84AB4}" uniqueName="7" name="ADDRESS" queryTableFieldId="7" dataDxfId="4"/>
    <tableColumn id="12" xr3:uid="{3841BDB0-84C3-44FF-A78F-00C7732779EF}" uniqueName="12" name="Column4" queryTableFieldId="12" dataDxfId="0">
      <calculatedColumnFormula>PROPER(vw_DSA_Mall_Transaction[[#This Row],[ADDRESS]])</calculatedColumnFormula>
    </tableColumn>
    <tableColumn id="8" xr3:uid="{80F36325-D11A-45A1-9A7A-AEE5F472EFA3}" uniqueName="8" name="TRANSACTION AMOUNT" queryTableFieldId="8" dataCellStyle="Comm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E094D-D8E6-43A8-9601-229335E0113C}">
  <dimension ref="A1:L50"/>
  <sheetViews>
    <sheetView topLeftCell="E1" workbookViewId="0">
      <selection activeCell="K8" sqref="K8"/>
    </sheetView>
  </sheetViews>
  <sheetFormatPr defaultRowHeight="14.4" x14ac:dyDescent="0.3"/>
  <cols>
    <col min="1" max="1" width="24.21875" bestFit="1" customWidth="1"/>
    <col min="2" max="2" width="14.6640625" bestFit="1" customWidth="1"/>
    <col min="3" max="3" width="13.109375" bestFit="1" customWidth="1"/>
    <col min="4" max="4" width="13.109375" customWidth="1"/>
    <col min="5" max="5" width="12.44140625" bestFit="1" customWidth="1"/>
    <col min="6" max="6" width="12.44140625" customWidth="1"/>
    <col min="7" max="7" width="10.21875" bestFit="1" customWidth="1"/>
    <col min="8" max="8" width="10.21875" customWidth="1"/>
    <col min="9" max="9" width="10.33203125" bestFit="1" customWidth="1"/>
    <col min="10" max="10" width="26.5546875" bestFit="1" customWidth="1"/>
    <col min="11" max="11" width="26.5546875" customWidth="1"/>
    <col min="12" max="12" width="23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119</v>
      </c>
      <c r="E1" t="s">
        <v>3</v>
      </c>
      <c r="F1" t="s">
        <v>120</v>
      </c>
      <c r="G1" t="s">
        <v>4</v>
      </c>
      <c r="H1" t="s">
        <v>121</v>
      </c>
      <c r="I1" t="s">
        <v>5</v>
      </c>
      <c r="J1" t="s">
        <v>6</v>
      </c>
      <c r="K1" t="s">
        <v>122</v>
      </c>
      <c r="L1" t="s">
        <v>7</v>
      </c>
    </row>
    <row r="2" spans="1:12" x14ac:dyDescent="0.3">
      <c r="A2" s="1" t="s">
        <v>8</v>
      </c>
      <c r="B2">
        <v>200</v>
      </c>
      <c r="C2" s="1" t="s">
        <v>9</v>
      </c>
      <c r="D2" s="1" t="str">
        <f>PROPER(vw_DSA_Mall_Transaction[[#This Row],[FIRST NAME]])</f>
        <v>Femk</v>
      </c>
      <c r="E2" s="1" t="s">
        <v>125</v>
      </c>
      <c r="F2" s="1" t="str">
        <f>PROPER(vw_DSA_Mall_Transaction[[#This Row],[LAST NAME]])</f>
        <v>Abdul</v>
      </c>
      <c r="G2" s="1" t="s">
        <v>11</v>
      </c>
      <c r="H2" s="1" t="str">
        <f>PROPER(vw_DSA_Mall_Transaction[[#This Row],[GENDER]])</f>
        <v>Male</v>
      </c>
      <c r="I2" s="2">
        <v>45798</v>
      </c>
      <c r="J2" s="1" t="s">
        <v>12</v>
      </c>
      <c r="K2" s="1" t="str">
        <f>PROPER(vw_DSA_Mall_Transaction[[#This Row],[ADDRESS]])</f>
        <v>9 Old Road</v>
      </c>
      <c r="L2" s="3">
        <v>88000</v>
      </c>
    </row>
    <row r="3" spans="1:12" x14ac:dyDescent="0.3">
      <c r="A3" s="1" t="s">
        <v>8</v>
      </c>
      <c r="B3">
        <v>201</v>
      </c>
      <c r="C3" s="1" t="s">
        <v>13</v>
      </c>
      <c r="D3" s="1" t="str">
        <f>PROPER(vw_DSA_Mall_Transaction[[#This Row],[FIRST NAME]])</f>
        <v>Isaiah</v>
      </c>
      <c r="E3" s="1" t="s">
        <v>14</v>
      </c>
      <c r="F3" s="1" t="str">
        <f>PROPER(vw_DSA_Mall_Transaction[[#This Row],[LAST NAME]])</f>
        <v>John</v>
      </c>
      <c r="G3" s="1" t="s">
        <v>11</v>
      </c>
      <c r="H3" s="1" t="str">
        <f>PROPER(vw_DSA_Mall_Transaction[[#This Row],[GENDER]])</f>
        <v>Male</v>
      </c>
      <c r="I3" s="2">
        <v>45798</v>
      </c>
      <c r="J3" s="1" t="s">
        <v>124</v>
      </c>
      <c r="K3" s="1" t="str">
        <f>PROPER(vw_DSA_Mall_Transaction[[#This Row],[ADDRESS]])</f>
        <v>22 Alaly Street, Okun</v>
      </c>
      <c r="L3" s="3">
        <v>1590.32995605469</v>
      </c>
    </row>
    <row r="4" spans="1:12" x14ac:dyDescent="0.3">
      <c r="A4" s="1" t="s">
        <v>8</v>
      </c>
      <c r="B4">
        <v>204</v>
      </c>
      <c r="C4" s="1" t="s">
        <v>15</v>
      </c>
      <c r="D4" s="1" t="str">
        <f>PROPER(vw_DSA_Mall_Transaction[[#This Row],[FIRST NAME]])</f>
        <v>Igbayin</v>
      </c>
      <c r="E4" s="1" t="s">
        <v>16</v>
      </c>
      <c r="F4" s="1" t="str">
        <f>PROPER(vw_DSA_Mall_Transaction[[#This Row],[LAST NAME]])</f>
        <v>Elizabeth</v>
      </c>
      <c r="G4" s="1" t="s">
        <v>17</v>
      </c>
      <c r="H4" s="1" t="str">
        <f>PROPER(vw_DSA_Mall_Transaction[[#This Row],[GENDER]])</f>
        <v>Female</v>
      </c>
      <c r="I4" s="2">
        <v>45798</v>
      </c>
      <c r="J4" s="1" t="s">
        <v>18</v>
      </c>
      <c r="K4" s="1" t="str">
        <f>PROPER(vw_DSA_Mall_Transaction[[#This Row],[ADDRESS]])</f>
        <v>100 Kukuma Street, Epe</v>
      </c>
      <c r="L4" s="3">
        <v>89100.6875</v>
      </c>
    </row>
    <row r="5" spans="1:12" x14ac:dyDescent="0.3">
      <c r="A5" s="1" t="s">
        <v>8</v>
      </c>
      <c r="B5">
        <v>206</v>
      </c>
      <c r="C5" s="1" t="s">
        <v>19</v>
      </c>
      <c r="D5" s="1" t="str">
        <f>PROPER(vw_DSA_Mall_Transaction[[#This Row],[FIRST NAME]])</f>
        <v>Emma</v>
      </c>
      <c r="E5" s="1" t="s">
        <v>20</v>
      </c>
      <c r="F5" s="1" t="str">
        <f>PROPER(vw_DSA_Mall_Transaction[[#This Row],[LAST NAME]])</f>
        <v>Abu</v>
      </c>
      <c r="G5" s="1" t="s">
        <v>11</v>
      </c>
      <c r="H5" s="1" t="str">
        <f>PROPER(vw_DSA_Mall_Transaction[[#This Row],[GENDER]])</f>
        <v>Male</v>
      </c>
      <c r="I5" s="2">
        <v>45798</v>
      </c>
      <c r="J5" s="1" t="s">
        <v>21</v>
      </c>
      <c r="K5" s="1" t="str">
        <f>PROPER(vw_DSA_Mall_Transaction[[#This Row],[ADDRESS]])</f>
        <v>7 Ababa Street, Makunn</v>
      </c>
      <c r="L5" s="3">
        <v>6788.330078125</v>
      </c>
    </row>
    <row r="6" spans="1:12" x14ac:dyDescent="0.3">
      <c r="A6" s="1" t="s">
        <v>8</v>
      </c>
      <c r="B6">
        <v>209</v>
      </c>
      <c r="C6" s="1" t="s">
        <v>22</v>
      </c>
      <c r="D6" s="1" t="str">
        <f>PROPER(vw_DSA_Mall_Transaction[[#This Row],[FIRST NAME]])</f>
        <v>Oge</v>
      </c>
      <c r="E6" s="1" t="s">
        <v>23</v>
      </c>
      <c r="F6" s="1" t="str">
        <f>PROPER(vw_DSA_Mall_Transaction[[#This Row],[LAST NAME]])</f>
        <v>Kunle</v>
      </c>
      <c r="G6" s="1" t="s">
        <v>11</v>
      </c>
      <c r="H6" s="1" t="str">
        <f>PROPER(vw_DSA_Mall_Transaction[[#This Row],[GENDER]])</f>
        <v>Male</v>
      </c>
      <c r="I6" s="2">
        <v>45798</v>
      </c>
      <c r="J6" s="1" t="s">
        <v>24</v>
      </c>
      <c r="K6" s="1" t="str">
        <f>PROPER(vw_DSA_Mall_Transaction[[#This Row],[ADDRESS]])</f>
        <v>10 Iwo Street, Liverpool</v>
      </c>
      <c r="L6" s="3">
        <v>7860.330078125</v>
      </c>
    </row>
    <row r="7" spans="1:12" x14ac:dyDescent="0.3">
      <c r="A7" s="1" t="s">
        <v>8</v>
      </c>
      <c r="B7">
        <v>210</v>
      </c>
      <c r="C7" s="1" t="s">
        <v>25</v>
      </c>
      <c r="D7" s="1" t="str">
        <f>PROPER(vw_DSA_Mall_Transaction[[#This Row],[FIRST NAME]])</f>
        <v>Kara</v>
      </c>
      <c r="E7" s="1" t="s">
        <v>26</v>
      </c>
      <c r="F7" s="1" t="str">
        <f>PROPER(vw_DSA_Mall_Transaction[[#This Row],[LAST NAME]])</f>
        <v>Ogun</v>
      </c>
      <c r="G7" s="1" t="s">
        <v>17</v>
      </c>
      <c r="H7" s="1" t="str">
        <f>PROPER(vw_DSA_Mall_Transaction[[#This Row],[GENDER]])</f>
        <v>Female</v>
      </c>
      <c r="I7" s="2">
        <v>45798</v>
      </c>
      <c r="J7" s="1" t="s">
        <v>27</v>
      </c>
      <c r="K7" s="1" t="str">
        <f>PROPER(vw_DSA_Mall_Transaction[[#This Row],[ADDRESS]])</f>
        <v>10 Hahroh Road, Ottawa</v>
      </c>
      <c r="L7" s="3">
        <v>3400.330078125</v>
      </c>
    </row>
    <row r="8" spans="1:12" x14ac:dyDescent="0.3">
      <c r="A8" s="1" t="s">
        <v>8</v>
      </c>
      <c r="B8">
        <v>211</v>
      </c>
      <c r="C8" s="1" t="s">
        <v>28</v>
      </c>
      <c r="D8" s="1" t="str">
        <f>PROPER(vw_DSA_Mall_Transaction[[#This Row],[FIRST NAME]])</f>
        <v>Sunkanmi</v>
      </c>
      <c r="E8" s="1" t="s">
        <v>29</v>
      </c>
      <c r="F8" s="1" t="str">
        <f>PROPER(vw_DSA_Mall_Transaction[[#This Row],[LAST NAME]])</f>
        <v>Osagie</v>
      </c>
      <c r="G8" s="1" t="s">
        <v>17</v>
      </c>
      <c r="H8" s="1" t="str">
        <f>PROPER(vw_DSA_Mall_Transaction[[#This Row],[GENDER]])</f>
        <v>Female</v>
      </c>
      <c r="I8" s="2">
        <v>45798</v>
      </c>
      <c r="J8" s="1" t="s">
        <v>30</v>
      </c>
      <c r="K8" s="1" t="str">
        <f>PROPER(vw_DSA_Mall_Transaction[[#This Row],[ADDRESS]])</f>
        <v>9 Agric Butstop Street, Okun</v>
      </c>
      <c r="L8" s="3">
        <v>89875</v>
      </c>
    </row>
    <row r="9" spans="1:12" x14ac:dyDescent="0.3">
      <c r="A9" s="1" t="s">
        <v>8</v>
      </c>
      <c r="B9">
        <v>216</v>
      </c>
      <c r="C9" s="1" t="s">
        <v>31</v>
      </c>
      <c r="D9" s="1" t="str">
        <f>PROPER(vw_DSA_Mall_Transaction[[#This Row],[FIRST NAME]])</f>
        <v>Marvelous</v>
      </c>
      <c r="E9" s="1" t="s">
        <v>32</v>
      </c>
      <c r="F9" s="1" t="str">
        <f>PROPER(vw_DSA_Mall_Transaction[[#This Row],[LAST NAME]])</f>
        <v>Jerremy</v>
      </c>
      <c r="G9" s="1" t="s">
        <v>17</v>
      </c>
      <c r="H9" s="1" t="str">
        <f>PROPER(vw_DSA_Mall_Transaction[[#This Row],[GENDER]])</f>
        <v>Female</v>
      </c>
      <c r="I9" s="2">
        <v>45798</v>
      </c>
      <c r="J9" s="1" t="s">
        <v>33</v>
      </c>
      <c r="K9" s="1" t="str">
        <f>PROPER(vw_DSA_Mall_Transaction[[#This Row],[ADDRESS]])</f>
        <v>9 Jo Grey Quarter, Igbo</v>
      </c>
      <c r="L9" s="3">
        <v>53590.3515625</v>
      </c>
    </row>
    <row r="10" spans="1:12" x14ac:dyDescent="0.3">
      <c r="A10" s="1" t="s">
        <v>8</v>
      </c>
      <c r="B10">
        <v>219</v>
      </c>
      <c r="C10" s="1" t="s">
        <v>34</v>
      </c>
      <c r="D10" s="1" t="str">
        <f>PROPER(vw_DSA_Mall_Transaction[[#This Row],[FIRST NAME]])</f>
        <v>Mummry</v>
      </c>
      <c r="E10" s="1" t="s">
        <v>35</v>
      </c>
      <c r="F10" s="1" t="str">
        <f>PROPER(vw_DSA_Mall_Transaction[[#This Row],[LAST NAME]])</f>
        <v>Akinbho</v>
      </c>
      <c r="G10" s="1" t="s">
        <v>17</v>
      </c>
      <c r="H10" s="1" t="str">
        <f>PROPER(vw_DSA_Mall_Transaction[[#This Row],[GENDER]])</f>
        <v>Female</v>
      </c>
      <c r="I10" s="2">
        <v>45798</v>
      </c>
      <c r="J10" s="1" t="s">
        <v>36</v>
      </c>
      <c r="K10" s="1" t="str">
        <f>PROPER(vw_DSA_Mall_Transaction[[#This Row],[ADDRESS]])</f>
        <v>9 Babaoluwa Quarter, Ipaha</v>
      </c>
      <c r="L10" s="3">
        <v>9000.5</v>
      </c>
    </row>
    <row r="11" spans="1:12" x14ac:dyDescent="0.3">
      <c r="A11" s="1" t="s">
        <v>8</v>
      </c>
      <c r="B11">
        <v>220</v>
      </c>
      <c r="C11" s="1" t="s">
        <v>37</v>
      </c>
      <c r="D11" s="1" t="str">
        <f>PROPER(vw_DSA_Mall_Transaction[[#This Row],[FIRST NAME]])</f>
        <v>Latana</v>
      </c>
      <c r="E11" s="1" t="s">
        <v>32</v>
      </c>
      <c r="F11" s="1" t="str">
        <f>PROPER(vw_DSA_Mall_Transaction[[#This Row],[LAST NAME]])</f>
        <v>Jerremy</v>
      </c>
      <c r="G11" s="1" t="s">
        <v>11</v>
      </c>
      <c r="H11" s="1" t="str">
        <f>PROPER(vw_DSA_Mall_Transaction[[#This Row],[GENDER]])</f>
        <v>Male</v>
      </c>
      <c r="I11" s="2">
        <v>45798</v>
      </c>
      <c r="J11" s="1" t="s">
        <v>38</v>
      </c>
      <c r="K11" s="1" t="str">
        <f>PROPER(vw_DSA_Mall_Transaction[[#This Row],[ADDRESS]])</f>
        <v>9 Ifelofudn Quarter, Ado</v>
      </c>
      <c r="L11" s="3">
        <v>15090.349609375</v>
      </c>
    </row>
    <row r="12" spans="1:12" x14ac:dyDescent="0.3">
      <c r="A12" s="1" t="s">
        <v>8</v>
      </c>
      <c r="B12">
        <v>233</v>
      </c>
      <c r="C12" s="1" t="s">
        <v>39</v>
      </c>
      <c r="D12" s="1" t="str">
        <f>PROPER(vw_DSA_Mall_Transaction[[#This Row],[FIRST NAME]])</f>
        <v>Adewale</v>
      </c>
      <c r="E12" s="1" t="s">
        <v>40</v>
      </c>
      <c r="F12" s="1" t="str">
        <f>PROPER(vw_DSA_Mall_Transaction[[#This Row],[LAST NAME]])</f>
        <v>Eleshoh</v>
      </c>
      <c r="G12" s="1" t="s">
        <v>11</v>
      </c>
      <c r="H12" s="1" t="str">
        <f>PROPER(vw_DSA_Mall_Transaction[[#This Row],[GENDER]])</f>
        <v>Male</v>
      </c>
      <c r="I12" s="2">
        <v>45798</v>
      </c>
      <c r="J12" s="1" t="s">
        <v>41</v>
      </c>
      <c r="K12" s="1" t="str">
        <f>PROPER(vw_DSA_Mall_Transaction[[#This Row],[ADDRESS]])</f>
        <v>Plot 10 Agric Road, Ado-Lekki</v>
      </c>
      <c r="L12" s="3">
        <v>8799090</v>
      </c>
    </row>
    <row r="13" spans="1:12" x14ac:dyDescent="0.3">
      <c r="A13" s="1" t="s">
        <v>8</v>
      </c>
      <c r="B13">
        <v>243</v>
      </c>
      <c r="C13" s="1" t="s">
        <v>42</v>
      </c>
      <c r="D13" s="1" t="str">
        <f>PROPER(vw_DSA_Mall_Transaction[[#This Row],[FIRST NAME]])</f>
        <v>Gerald</v>
      </c>
      <c r="E13" s="1" t="s">
        <v>32</v>
      </c>
      <c r="F13" s="1" t="str">
        <f>PROPER(vw_DSA_Mall_Transaction[[#This Row],[LAST NAME]])</f>
        <v>Jerremy</v>
      </c>
      <c r="G13" s="1" t="s">
        <v>43</v>
      </c>
      <c r="H13" s="1" t="str">
        <f>PROPER(vw_DSA_Mall_Transaction[[#This Row],[GENDER]])</f>
        <v>Male</v>
      </c>
      <c r="I13" s="2">
        <v>45798</v>
      </c>
      <c r="J13" s="1" t="s">
        <v>44</v>
      </c>
      <c r="K13" s="1" t="str">
        <f>PROPER(vw_DSA_Mall_Transaction[[#This Row],[ADDRESS]])</f>
        <v>9 Marteen Quarter, Liverpool</v>
      </c>
      <c r="L13" s="3">
        <v>903590</v>
      </c>
    </row>
    <row r="14" spans="1:12" x14ac:dyDescent="0.3">
      <c r="A14" s="1" t="s">
        <v>8</v>
      </c>
      <c r="B14">
        <v>245</v>
      </c>
      <c r="C14" s="1" t="s">
        <v>45</v>
      </c>
      <c r="D14" s="1" t="str">
        <f>PROPER(vw_DSA_Mall_Transaction[[#This Row],[FIRST NAME]])</f>
        <v>Debbry</v>
      </c>
      <c r="E14" s="1" t="s">
        <v>46</v>
      </c>
      <c r="F14" s="1" t="str">
        <f>PROPER(vw_DSA_Mall_Transaction[[#This Row],[LAST NAME]])</f>
        <v>Alex</v>
      </c>
      <c r="G14" s="1" t="s">
        <v>17</v>
      </c>
      <c r="H14" s="1" t="str">
        <f>PROPER(vw_DSA_Mall_Transaction[[#This Row],[GENDER]])</f>
        <v>Female</v>
      </c>
      <c r="I14" s="2">
        <v>45798</v>
      </c>
      <c r="J14" s="1" t="s">
        <v>47</v>
      </c>
      <c r="K14" s="1" t="str">
        <f>PROPER(vw_DSA_Mall_Transaction[[#This Row],[ADDRESS]])</f>
        <v>89  Maroko Street, Ottawa</v>
      </c>
      <c r="L14" s="3">
        <v>900400.75</v>
      </c>
    </row>
    <row r="15" spans="1:12" x14ac:dyDescent="0.3">
      <c r="A15" s="1" t="s">
        <v>8</v>
      </c>
      <c r="B15">
        <v>250</v>
      </c>
      <c r="C15" s="1" t="s">
        <v>48</v>
      </c>
      <c r="D15" s="1" t="str">
        <f>PROPER(vw_DSA_Mall_Transaction[[#This Row],[FIRST NAME]])</f>
        <v>Alexander</v>
      </c>
      <c r="E15" s="1" t="s">
        <v>29</v>
      </c>
      <c r="F15" s="1" t="str">
        <f>PROPER(vw_DSA_Mall_Transaction[[#This Row],[LAST NAME]])</f>
        <v>Osagie</v>
      </c>
      <c r="G15" s="1" t="s">
        <v>43</v>
      </c>
      <c r="H15" s="1" t="str">
        <f>PROPER(vw_DSA_Mall_Transaction[[#This Row],[GENDER]])</f>
        <v>Male</v>
      </c>
      <c r="I15" s="2">
        <v>45798</v>
      </c>
      <c r="J15" s="1" t="s">
        <v>49</v>
      </c>
      <c r="K15" s="1" t="str">
        <f>PROPER(vw_DSA_Mall_Transaction[[#This Row],[ADDRESS]])</f>
        <v>Plot 1233 Butstop Street, Ikeja</v>
      </c>
      <c r="L15" s="3">
        <v>674422.875</v>
      </c>
    </row>
    <row r="16" spans="1:12" x14ac:dyDescent="0.3">
      <c r="A16" s="1" t="s">
        <v>8</v>
      </c>
      <c r="B16">
        <v>290</v>
      </c>
      <c r="C16" s="1" t="s">
        <v>50</v>
      </c>
      <c r="D16" s="1" t="str">
        <f>PROPER(vw_DSA_Mall_Transaction[[#This Row],[FIRST NAME]])</f>
        <v>Saraki</v>
      </c>
      <c r="E16" s="1" t="s">
        <v>51</v>
      </c>
      <c r="F16" s="1" t="str">
        <f>PROPER(vw_DSA_Mall_Transaction[[#This Row],[LAST NAME]])</f>
        <v>Abu</v>
      </c>
      <c r="G16" s="1" t="s">
        <v>11</v>
      </c>
      <c r="H16" s="1" t="str">
        <f>PROPER(vw_DSA_Mall_Transaction[[#This Row],[GENDER]])</f>
        <v>Male</v>
      </c>
      <c r="I16" s="2">
        <v>45798</v>
      </c>
      <c r="J16" s="1" t="s">
        <v>52</v>
      </c>
      <c r="K16" s="1" t="str">
        <f>PROPER(vw_DSA_Mall_Transaction[[#This Row],[ADDRESS]])</f>
        <v>Plot Ozambe Madiwa, Makunn</v>
      </c>
      <c r="L16" s="3">
        <v>525353.75</v>
      </c>
    </row>
    <row r="17" spans="1:12" x14ac:dyDescent="0.3">
      <c r="A17" s="1" t="s">
        <v>53</v>
      </c>
      <c r="B17">
        <v>100</v>
      </c>
      <c r="C17" s="1" t="s">
        <v>54</v>
      </c>
      <c r="D17" s="1" t="str">
        <f>PROPER(vw_DSA_Mall_Transaction[[#This Row],[FIRST NAME]])</f>
        <v>Ramesh</v>
      </c>
      <c r="E17" s="1" t="s">
        <v>10</v>
      </c>
      <c r="F17" s="1" t="str">
        <f>PROPER(vw_DSA_Mall_Transaction[[#This Row],[LAST NAME]])</f>
        <v>Abdukl</v>
      </c>
      <c r="G17" s="1" t="s">
        <v>11</v>
      </c>
      <c r="H17" s="1" t="str">
        <f>PROPER(vw_DSA_Mall_Transaction[[#This Row],[GENDER]])</f>
        <v>Male</v>
      </c>
      <c r="I17" s="2">
        <v>45798</v>
      </c>
      <c r="J17" s="1" t="s">
        <v>55</v>
      </c>
      <c r="K17" s="1" t="str">
        <f>PROPER(vw_DSA_Mall_Transaction[[#This Row],[ADDRESS]])</f>
        <v>8 Ahmed Road</v>
      </c>
      <c r="L17" s="3">
        <v>2000</v>
      </c>
    </row>
    <row r="18" spans="1:12" x14ac:dyDescent="0.3">
      <c r="A18" s="1" t="s">
        <v>53</v>
      </c>
      <c r="B18">
        <v>108</v>
      </c>
      <c r="C18" s="1" t="s">
        <v>56</v>
      </c>
      <c r="D18" s="1" t="str">
        <f>PROPER(vw_DSA_Mall_Transaction[[#This Row],[FIRST NAME]])</f>
        <v>Orobiyi</v>
      </c>
      <c r="E18" s="1" t="s">
        <v>57</v>
      </c>
      <c r="F18" s="1" t="str">
        <f>PROPER(vw_DSA_Mall_Transaction[[#This Row],[LAST NAME]])</f>
        <v>Kekerekun</v>
      </c>
      <c r="G18" s="1" t="s">
        <v>11</v>
      </c>
      <c r="H18" s="1" t="str">
        <f>PROPER(vw_DSA_Mall_Transaction[[#This Row],[GENDER]])</f>
        <v>Male</v>
      </c>
      <c r="I18" s="2">
        <v>45798</v>
      </c>
      <c r="J18" s="1" t="s">
        <v>58</v>
      </c>
      <c r="K18" s="1" t="str">
        <f>PROPER(vw_DSA_Mall_Transaction[[#This Row],[ADDRESS]])</f>
        <v>88 Malele Road, Ijebu</v>
      </c>
      <c r="L18" s="3">
        <v>6500.330078125</v>
      </c>
    </row>
    <row r="19" spans="1:12" x14ac:dyDescent="0.3">
      <c r="A19" s="1" t="s">
        <v>53</v>
      </c>
      <c r="B19">
        <v>109</v>
      </c>
      <c r="C19" s="1" t="s">
        <v>28</v>
      </c>
      <c r="D19" s="1" t="str">
        <f>PROPER(vw_DSA_Mall_Transaction[[#This Row],[FIRST NAME]])</f>
        <v>Sunkanmi</v>
      </c>
      <c r="E19" s="1" t="s">
        <v>59</v>
      </c>
      <c r="F19" s="1" t="str">
        <f>PROPER(vw_DSA_Mall_Transaction[[#This Row],[LAST NAME]])</f>
        <v>Alade</v>
      </c>
      <c r="G19" s="1" t="s">
        <v>11</v>
      </c>
      <c r="H19" s="1" t="str">
        <f>PROPER(vw_DSA_Mall_Transaction[[#This Row],[GENDER]])</f>
        <v>Male</v>
      </c>
      <c r="I19" s="2">
        <v>45798</v>
      </c>
      <c r="J19" s="1" t="s">
        <v>60</v>
      </c>
      <c r="K19" s="1" t="str">
        <f>PROPER(vw_DSA_Mall_Transaction[[#This Row],[ADDRESS]])</f>
        <v>9 Orebiyi Street, Okun</v>
      </c>
      <c r="L19" s="3">
        <v>37575</v>
      </c>
    </row>
    <row r="20" spans="1:12" x14ac:dyDescent="0.3">
      <c r="A20" s="1" t="s">
        <v>53</v>
      </c>
      <c r="B20">
        <v>110</v>
      </c>
      <c r="C20" s="1" t="s">
        <v>25</v>
      </c>
      <c r="D20" s="1" t="str">
        <f>PROPER(vw_DSA_Mall_Transaction[[#This Row],[FIRST NAME]])</f>
        <v>Kara</v>
      </c>
      <c r="E20" s="1" t="s">
        <v>26</v>
      </c>
      <c r="F20" s="1" t="str">
        <f>PROPER(vw_DSA_Mall_Transaction[[#This Row],[LAST NAME]])</f>
        <v>Ogun</v>
      </c>
      <c r="G20" s="1" t="s">
        <v>11</v>
      </c>
      <c r="H20" s="1" t="str">
        <f>PROPER(vw_DSA_Mall_Transaction[[#This Row],[GENDER]])</f>
        <v>Male</v>
      </c>
      <c r="I20" s="2">
        <v>45798</v>
      </c>
      <c r="J20" s="1" t="s">
        <v>27</v>
      </c>
      <c r="K20" s="1" t="str">
        <f>PROPER(vw_DSA_Mall_Transaction[[#This Row],[ADDRESS]])</f>
        <v>10 Hahroh Road, Ottawa</v>
      </c>
      <c r="L20" s="3">
        <v>3400.330078125</v>
      </c>
    </row>
    <row r="21" spans="1:12" x14ac:dyDescent="0.3">
      <c r="A21" s="1" t="s">
        <v>53</v>
      </c>
      <c r="B21">
        <v>111</v>
      </c>
      <c r="C21" s="1" t="s">
        <v>61</v>
      </c>
      <c r="D21" s="1" t="str">
        <f>PROPER(vw_DSA_Mall_Transaction[[#This Row],[FIRST NAME]])</f>
        <v>Malik</v>
      </c>
      <c r="E21" s="1" t="s">
        <v>62</v>
      </c>
      <c r="F21" s="1" t="str">
        <f>PROPER(vw_DSA_Mall_Transaction[[#This Row],[LAST NAME]])</f>
        <v>Delhi</v>
      </c>
      <c r="G21" s="1" t="s">
        <v>17</v>
      </c>
      <c r="H21" s="1" t="str">
        <f>PROPER(vw_DSA_Mall_Transaction[[#This Row],[GENDER]])</f>
        <v>Female</v>
      </c>
      <c r="I21" s="2">
        <v>45798</v>
      </c>
      <c r="J21" s="1" t="s">
        <v>63</v>
      </c>
      <c r="K21" s="1" t="str">
        <f>PROPER(vw_DSA_Mall_Transaction[[#This Row],[ADDRESS]])</f>
        <v>2 Agriiv Stree, Makunn</v>
      </c>
      <c r="L21" s="3">
        <v>1999.32995605469</v>
      </c>
    </row>
    <row r="22" spans="1:12" x14ac:dyDescent="0.3">
      <c r="A22" s="1" t="s">
        <v>53</v>
      </c>
      <c r="B22">
        <v>115</v>
      </c>
      <c r="C22" s="1" t="s">
        <v>64</v>
      </c>
      <c r="D22" s="1" t="str">
        <f>PROPER(vw_DSA_Mall_Transaction[[#This Row],[FIRST NAME]])</f>
        <v>Igbati</v>
      </c>
      <c r="E22" s="1" t="s">
        <v>65</v>
      </c>
      <c r="F22" s="1" t="str">
        <f>PROPER(vw_DSA_Mall_Transaction[[#This Row],[LAST NAME]])</f>
        <v>Bunmi</v>
      </c>
      <c r="G22" s="1" t="s">
        <v>11</v>
      </c>
      <c r="H22" s="1" t="str">
        <f>PROPER(vw_DSA_Mall_Transaction[[#This Row],[GENDER]])</f>
        <v>Male</v>
      </c>
      <c r="I22" s="2">
        <v>45798</v>
      </c>
      <c r="J22" s="1" t="s">
        <v>66</v>
      </c>
      <c r="K22" s="1" t="str">
        <f>PROPER(vw_DSA_Mall_Transaction[[#This Row],[ADDRESS]])</f>
        <v>90 Delhi Street, Abeokunta</v>
      </c>
      <c r="L22" s="3">
        <v>1000.69000244141</v>
      </c>
    </row>
    <row r="23" spans="1:12" x14ac:dyDescent="0.3">
      <c r="A23" s="1" t="s">
        <v>53</v>
      </c>
      <c r="B23">
        <v>119</v>
      </c>
      <c r="C23" s="1" t="s">
        <v>37</v>
      </c>
      <c r="D23" s="1" t="str">
        <f>PROPER(vw_DSA_Mall_Transaction[[#This Row],[FIRST NAME]])</f>
        <v>Latana</v>
      </c>
      <c r="E23" s="1" t="s">
        <v>32</v>
      </c>
      <c r="F23" s="1" t="str">
        <f>PROPER(vw_DSA_Mall_Transaction[[#This Row],[LAST NAME]])</f>
        <v>Jerremy</v>
      </c>
      <c r="G23" s="1" t="s">
        <v>11</v>
      </c>
      <c r="H23" s="1" t="str">
        <f>PROPER(vw_DSA_Mall_Transaction[[#This Row],[GENDER]])</f>
        <v>Male</v>
      </c>
      <c r="I23" s="2">
        <v>45798</v>
      </c>
      <c r="J23" s="1" t="s">
        <v>38</v>
      </c>
      <c r="K23" s="1" t="str">
        <f>PROPER(vw_DSA_Mall_Transaction[[#This Row],[ADDRESS]])</f>
        <v>9 Ifelofudn Quarter, Ado</v>
      </c>
      <c r="L23" s="3">
        <v>15090.349609375</v>
      </c>
    </row>
    <row r="24" spans="1:12" x14ac:dyDescent="0.3">
      <c r="A24" s="1" t="s">
        <v>53</v>
      </c>
      <c r="B24">
        <v>120</v>
      </c>
      <c r="C24" s="1" t="s">
        <v>34</v>
      </c>
      <c r="D24" s="1" t="str">
        <f>PROPER(vw_DSA_Mall_Transaction[[#This Row],[FIRST NAME]])</f>
        <v>Mummry</v>
      </c>
      <c r="E24" s="1" t="s">
        <v>35</v>
      </c>
      <c r="F24" s="1" t="str">
        <f>PROPER(vw_DSA_Mall_Transaction[[#This Row],[LAST NAME]])</f>
        <v>Akinbho</v>
      </c>
      <c r="G24" s="1" t="s">
        <v>17</v>
      </c>
      <c r="H24" s="1" t="str">
        <f>PROPER(vw_DSA_Mall_Transaction[[#This Row],[GENDER]])</f>
        <v>Female</v>
      </c>
      <c r="I24" s="2">
        <v>45798</v>
      </c>
      <c r="J24" s="1" t="s">
        <v>36</v>
      </c>
      <c r="K24" s="1" t="str">
        <f>PROPER(vw_DSA_Mall_Transaction[[#This Row],[ADDRESS]])</f>
        <v>9 Babaoluwa Quarter, Ipaha</v>
      </c>
      <c r="L24" s="3">
        <v>9000.5</v>
      </c>
    </row>
    <row r="25" spans="1:12" x14ac:dyDescent="0.3">
      <c r="A25" s="1" t="s">
        <v>53</v>
      </c>
      <c r="B25">
        <v>121</v>
      </c>
      <c r="C25" s="1" t="s">
        <v>67</v>
      </c>
      <c r="D25" s="1" t="str">
        <f>PROPER(vw_DSA_Mall_Transaction[[#This Row],[FIRST NAME]])</f>
        <v>Khilan</v>
      </c>
      <c r="E25" s="1" t="s">
        <v>62</v>
      </c>
      <c r="F25" s="1" t="str">
        <f>PROPER(vw_DSA_Mall_Transaction[[#This Row],[LAST NAME]])</f>
        <v>Delhi</v>
      </c>
      <c r="G25" s="1" t="s">
        <v>17</v>
      </c>
      <c r="H25" s="1" t="str">
        <f>PROPER(vw_DSA_Mall_Transaction[[#This Row],[GENDER]])</f>
        <v>Female</v>
      </c>
      <c r="I25" s="2">
        <v>45798</v>
      </c>
      <c r="J25" s="1" t="s">
        <v>68</v>
      </c>
      <c r="K25" s="1" t="str">
        <f>PROPER(vw_DSA_Mall_Transaction[[#This Row],[ADDRESS]])</f>
        <v>9 Delhi Stree, Okun</v>
      </c>
      <c r="L25" s="3">
        <v>1500.32995605469</v>
      </c>
    </row>
    <row r="26" spans="1:12" x14ac:dyDescent="0.3">
      <c r="A26" s="1" t="s">
        <v>53</v>
      </c>
      <c r="B26">
        <v>121</v>
      </c>
      <c r="C26" s="1" t="s">
        <v>50</v>
      </c>
      <c r="D26" s="1" t="str">
        <f>PROPER(vw_DSA_Mall_Transaction[[#This Row],[FIRST NAME]])</f>
        <v>Saraki</v>
      </c>
      <c r="E26" s="1" t="s">
        <v>69</v>
      </c>
      <c r="F26" s="1" t="str">
        <f>PROPER(vw_DSA_Mall_Transaction[[#This Row],[LAST NAME]])</f>
        <v>Bunmi</v>
      </c>
      <c r="G26" s="1" t="s">
        <v>70</v>
      </c>
      <c r="H26" s="1" t="str">
        <f>PROPER(vw_DSA_Mall_Transaction[[#This Row],[GENDER]])</f>
        <v>Female</v>
      </c>
      <c r="I26" s="2">
        <v>45798</v>
      </c>
      <c r="J26" s="1" t="s">
        <v>66</v>
      </c>
      <c r="K26" s="1" t="str">
        <f>PROPER(vw_DSA_Mall_Transaction[[#This Row],[ADDRESS]])</f>
        <v>90 Delhi Street, Abeokunta</v>
      </c>
      <c r="L26" s="3">
        <v>67400.0078125</v>
      </c>
    </row>
    <row r="27" spans="1:12" x14ac:dyDescent="0.3">
      <c r="A27" s="1" t="s">
        <v>53</v>
      </c>
      <c r="B27">
        <v>123</v>
      </c>
      <c r="C27" s="1" t="s">
        <v>71</v>
      </c>
      <c r="D27" s="1" t="str">
        <f>PROPER(vw_DSA_Mall_Transaction[[#This Row],[FIRST NAME]])</f>
        <v>Alake</v>
      </c>
      <c r="E27" s="1" t="s">
        <v>72</v>
      </c>
      <c r="F27" s="1" t="str">
        <f>PROPER(vw_DSA_Mall_Transaction[[#This Row],[LAST NAME]])</f>
        <v>Alagbo</v>
      </c>
      <c r="G27" s="1" t="s">
        <v>17</v>
      </c>
      <c r="H27" s="1" t="str">
        <f>PROPER(vw_DSA_Mall_Transaction[[#This Row],[GENDER]])</f>
        <v>Female</v>
      </c>
      <c r="I27" s="2">
        <v>45798</v>
      </c>
      <c r="J27" s="1" t="s">
        <v>36</v>
      </c>
      <c r="K27" s="1" t="str">
        <f>PROPER(vw_DSA_Mall_Transaction[[#This Row],[ADDRESS]])</f>
        <v>9 Babaoluwa Quarter, Ipaha</v>
      </c>
      <c r="L27" s="3">
        <v>74799.5078125</v>
      </c>
    </row>
    <row r="28" spans="1:12" x14ac:dyDescent="0.3">
      <c r="A28" s="1" t="s">
        <v>53</v>
      </c>
      <c r="B28">
        <v>124</v>
      </c>
      <c r="C28" s="1" t="s">
        <v>73</v>
      </c>
      <c r="D28" s="1" t="str">
        <f>PROPER(vw_DSA_Mall_Transaction[[#This Row],[FIRST NAME]])</f>
        <v>Laropale</v>
      </c>
      <c r="E28" s="1" t="s">
        <v>74</v>
      </c>
      <c r="F28" s="1" t="str">
        <f>PROPER(vw_DSA_Mall_Transaction[[#This Row],[LAST NAME]])</f>
        <v>Jeremiah</v>
      </c>
      <c r="G28" s="1" t="s">
        <v>11</v>
      </c>
      <c r="H28" s="1" t="str">
        <f>PROPER(vw_DSA_Mall_Transaction[[#This Row],[GENDER]])</f>
        <v>Male</v>
      </c>
      <c r="I28" s="2">
        <v>45798</v>
      </c>
      <c r="J28" s="1" t="s">
        <v>75</v>
      </c>
      <c r="K28" s="1" t="str">
        <f>PROPER(vw_DSA_Mall_Transaction[[#This Row],[ADDRESS]])</f>
        <v>9 Makun Ododo Quarter, Lissa</v>
      </c>
      <c r="L28" s="3">
        <v>679090.9375</v>
      </c>
    </row>
    <row r="29" spans="1:12" x14ac:dyDescent="0.3">
      <c r="A29" s="1" t="s">
        <v>53</v>
      </c>
      <c r="B29">
        <v>138</v>
      </c>
      <c r="C29" s="1" t="s">
        <v>76</v>
      </c>
      <c r="D29" s="1" t="str">
        <f>PROPER(vw_DSA_Mall_Transaction[[#This Row],[FIRST NAME]])</f>
        <v>Samuel</v>
      </c>
      <c r="E29" s="1" t="s">
        <v>77</v>
      </c>
      <c r="F29" s="1" t="str">
        <f>PROPER(vw_DSA_Mall_Transaction[[#This Row],[LAST NAME]])</f>
        <v>Orokpo</v>
      </c>
      <c r="G29" s="1" t="s">
        <v>11</v>
      </c>
      <c r="H29" s="1" t="str">
        <f>PROPER(vw_DSA_Mall_Transaction[[#This Row],[GENDER]])</f>
        <v>Male</v>
      </c>
      <c r="I29" s="2">
        <v>45798</v>
      </c>
      <c r="J29" s="1" t="s">
        <v>78</v>
      </c>
      <c r="K29" s="1" t="str">
        <f>PROPER(vw_DSA_Mall_Transaction[[#This Row],[ADDRESS]])</f>
        <v>88 Old Ife Road, Ijebu</v>
      </c>
      <c r="L29" s="3">
        <v>65990.328125</v>
      </c>
    </row>
    <row r="30" spans="1:12" x14ac:dyDescent="0.3">
      <c r="A30" s="1" t="s">
        <v>53</v>
      </c>
      <c r="B30">
        <v>141</v>
      </c>
      <c r="C30" s="1" t="s">
        <v>79</v>
      </c>
      <c r="D30" s="1" t="str">
        <f>PROPER(vw_DSA_Mall_Transaction[[#This Row],[FIRST NAME]])</f>
        <v>Abdulmalik</v>
      </c>
      <c r="E30" s="1" t="s">
        <v>80</v>
      </c>
      <c r="F30" s="1" t="str">
        <f>PROPER(vw_DSA_Mall_Transaction[[#This Row],[LAST NAME]])</f>
        <v>Huedeyin</v>
      </c>
      <c r="G30" s="1" t="s">
        <v>43</v>
      </c>
      <c r="H30" s="1" t="str">
        <f>PROPER(vw_DSA_Mall_Transaction[[#This Row],[GENDER]])</f>
        <v>Male</v>
      </c>
      <c r="I30" s="2">
        <v>45798</v>
      </c>
      <c r="J30" s="1" t="s">
        <v>81</v>
      </c>
      <c r="K30" s="1" t="str">
        <f>PROPER(vw_DSA_Mall_Transaction[[#This Row],[ADDRESS]])</f>
        <v>2 Hedeyin Road, Lakowe</v>
      </c>
      <c r="L30" s="3">
        <v>88989.9296875</v>
      </c>
    </row>
    <row r="31" spans="1:12" x14ac:dyDescent="0.3">
      <c r="A31" s="1" t="s">
        <v>82</v>
      </c>
      <c r="B31">
        <v>500</v>
      </c>
      <c r="C31" s="1" t="s">
        <v>83</v>
      </c>
      <c r="D31" s="1" t="str">
        <f>PROPER(vw_DSA_Mall_Transaction[[#This Row],[FIRST NAME]])</f>
        <v>Gabriel</v>
      </c>
      <c r="E31" s="1" t="s">
        <v>84</v>
      </c>
      <c r="F31" s="1" t="str">
        <f>PROPER(vw_DSA_Mall_Transaction[[#This Row],[LAST NAME]])</f>
        <v>Abdulkalid</v>
      </c>
      <c r="G31" s="1" t="s">
        <v>11</v>
      </c>
      <c r="H31" s="1" t="str">
        <f>PROPER(vw_DSA_Mall_Transaction[[#This Row],[GENDER]])</f>
        <v>Male</v>
      </c>
      <c r="I31" s="2">
        <v>45798</v>
      </c>
      <c r="J31" s="1" t="s">
        <v>85</v>
      </c>
      <c r="K31" s="1" t="str">
        <f>PROPER(vw_DSA_Mall_Transaction[[#This Row],[ADDRESS]])</f>
        <v>5 Old Road, Opebi</v>
      </c>
      <c r="L31" s="3">
        <v>880500</v>
      </c>
    </row>
    <row r="32" spans="1:12" x14ac:dyDescent="0.3">
      <c r="A32" s="1" t="s">
        <v>82</v>
      </c>
      <c r="B32">
        <v>501</v>
      </c>
      <c r="C32" s="1" t="s">
        <v>86</v>
      </c>
      <c r="D32" s="1" t="str">
        <f>PROPER(vw_DSA_Mall_Transaction[[#This Row],[FIRST NAME]])</f>
        <v>Abraham</v>
      </c>
      <c r="E32" s="1" t="s">
        <v>14</v>
      </c>
      <c r="F32" s="1" t="str">
        <f>PROPER(vw_DSA_Mall_Transaction[[#This Row],[LAST NAME]])</f>
        <v>John</v>
      </c>
      <c r="G32" s="1" t="s">
        <v>70</v>
      </c>
      <c r="H32" s="1" t="str">
        <f>PROPER(vw_DSA_Mall_Transaction[[#This Row],[GENDER]])</f>
        <v>Female</v>
      </c>
      <c r="I32" s="2">
        <v>45798</v>
      </c>
      <c r="J32" s="1" t="s">
        <v>87</v>
      </c>
      <c r="K32" s="1" t="str">
        <f>PROPER(vw_DSA_Mall_Transaction[[#This Row],[ADDRESS]])</f>
        <v>22 Toyin Street, Opebi</v>
      </c>
      <c r="L32" s="3">
        <v>1590.32995605469</v>
      </c>
    </row>
    <row r="33" spans="1:12" x14ac:dyDescent="0.3">
      <c r="A33" s="1" t="s">
        <v>82</v>
      </c>
      <c r="B33">
        <v>504</v>
      </c>
      <c r="C33" s="1" t="s">
        <v>15</v>
      </c>
      <c r="D33" s="1" t="str">
        <f>PROPER(vw_DSA_Mall_Transaction[[#This Row],[FIRST NAME]])</f>
        <v>Igbayin</v>
      </c>
      <c r="E33" s="1" t="s">
        <v>16</v>
      </c>
      <c r="F33" s="1" t="str">
        <f>PROPER(vw_DSA_Mall_Transaction[[#This Row],[LAST NAME]])</f>
        <v>Elizabeth</v>
      </c>
      <c r="G33" s="1" t="s">
        <v>17</v>
      </c>
      <c r="H33" s="1" t="str">
        <f>PROPER(vw_DSA_Mall_Transaction[[#This Row],[GENDER]])</f>
        <v>Female</v>
      </c>
      <c r="I33" s="2">
        <v>45798</v>
      </c>
      <c r="J33" s="1" t="s">
        <v>88</v>
      </c>
      <c r="K33" s="1" t="str">
        <f>PROPER(vw_DSA_Mall_Transaction[[#This Row],[ADDRESS]])</f>
        <v>100 Kukuma Street, Opebi</v>
      </c>
      <c r="L33" s="3">
        <v>8100.7900390625</v>
      </c>
    </row>
    <row r="34" spans="1:12" x14ac:dyDescent="0.3">
      <c r="A34" s="1" t="s">
        <v>82</v>
      </c>
      <c r="B34">
        <v>506</v>
      </c>
      <c r="C34" s="1" t="s">
        <v>89</v>
      </c>
      <c r="D34" s="1" t="str">
        <f>PROPER(vw_DSA_Mall_Transaction[[#This Row],[FIRST NAME]])</f>
        <v xml:space="preserve">Brandeis </v>
      </c>
      <c r="E34" s="1" t="s">
        <v>90</v>
      </c>
      <c r="F34" s="1" t="str">
        <f>PROPER(vw_DSA_Mall_Transaction[[#This Row],[LAST NAME]])</f>
        <v>Marshall</v>
      </c>
      <c r="G34" s="1" t="s">
        <v>11</v>
      </c>
      <c r="H34" s="1" t="str">
        <f>PROPER(vw_DSA_Mall_Transaction[[#This Row],[GENDER]])</f>
        <v>Male</v>
      </c>
      <c r="I34" s="2">
        <v>45798</v>
      </c>
      <c r="J34" s="1" t="s">
        <v>21</v>
      </c>
      <c r="K34" s="1" t="str">
        <f>PROPER(vw_DSA_Mall_Transaction[[#This Row],[ADDRESS]])</f>
        <v>7 Ababa Street, Makunn</v>
      </c>
      <c r="L34" s="3">
        <v>65588.328125</v>
      </c>
    </row>
    <row r="35" spans="1:12" x14ac:dyDescent="0.3">
      <c r="A35" s="1" t="s">
        <v>82</v>
      </c>
      <c r="B35">
        <v>509</v>
      </c>
      <c r="C35" s="1" t="s">
        <v>91</v>
      </c>
      <c r="D35" s="1" t="str">
        <f>PROPER(vw_DSA_Mall_Transaction[[#This Row],[FIRST NAME]])</f>
        <v>Oge</v>
      </c>
      <c r="E35" s="1" t="s">
        <v>92</v>
      </c>
      <c r="F35" s="1" t="str">
        <f>PROPER(vw_DSA_Mall_Transaction[[#This Row],[LAST NAME]])</f>
        <v>Gbenga</v>
      </c>
      <c r="G35" s="1" t="s">
        <v>11</v>
      </c>
      <c r="H35" s="1" t="str">
        <f>PROPER(vw_DSA_Mall_Transaction[[#This Row],[GENDER]])</f>
        <v>Male</v>
      </c>
      <c r="I35" s="2">
        <v>45798</v>
      </c>
      <c r="J35" s="1" t="s">
        <v>93</v>
      </c>
      <c r="K35" s="1" t="str">
        <f>PROPER(vw_DSA_Mall_Transaction[[#This Row],[ADDRESS]])</f>
        <v>10 Hosiptal Street, Allen Avenue</v>
      </c>
      <c r="L35" s="3">
        <v>7860.330078125</v>
      </c>
    </row>
    <row r="36" spans="1:12" x14ac:dyDescent="0.3">
      <c r="A36" s="1" t="s">
        <v>82</v>
      </c>
      <c r="B36">
        <v>510</v>
      </c>
      <c r="C36" s="1" t="s">
        <v>94</v>
      </c>
      <c r="D36" s="1" t="str">
        <f>PROPER(vw_DSA_Mall_Transaction[[#This Row],[FIRST NAME]])</f>
        <v>Kaosata</v>
      </c>
      <c r="E36" s="1" t="s">
        <v>95</v>
      </c>
      <c r="F36" s="1" t="str">
        <f>PROPER(vw_DSA_Mall_Transaction[[#This Row],[LAST NAME]])</f>
        <v>Michael</v>
      </c>
      <c r="G36" s="1" t="s">
        <v>17</v>
      </c>
      <c r="H36" s="1" t="str">
        <f>PROPER(vw_DSA_Mall_Transaction[[#This Row],[GENDER]])</f>
        <v>Female</v>
      </c>
      <c r="I36" s="2">
        <v>45798</v>
      </c>
      <c r="J36" s="1" t="s">
        <v>96</v>
      </c>
      <c r="K36" s="1" t="str">
        <f>PROPER(vw_DSA_Mall_Transaction[[#This Row],[ADDRESS]])</f>
        <v>10 Awolowo Road, Ikeja</v>
      </c>
      <c r="L36" s="3">
        <v>3700.92993164062</v>
      </c>
    </row>
    <row r="37" spans="1:12" x14ac:dyDescent="0.3">
      <c r="A37" s="1" t="s">
        <v>82</v>
      </c>
      <c r="B37">
        <v>510</v>
      </c>
      <c r="C37" s="1" t="s">
        <v>97</v>
      </c>
      <c r="D37" s="1" t="str">
        <f>PROPER(vw_DSA_Mall_Transaction[[#This Row],[FIRST NAME]])</f>
        <v>Oluwakemi</v>
      </c>
      <c r="E37" s="1" t="s">
        <v>98</v>
      </c>
      <c r="F37" s="1" t="str">
        <f>PROPER(vw_DSA_Mall_Transaction[[#This Row],[LAST NAME]])</f>
        <v>Marvelous</v>
      </c>
      <c r="G37" s="1" t="s">
        <v>17</v>
      </c>
      <c r="H37" s="1" t="str">
        <f>PROPER(vw_DSA_Mall_Transaction[[#This Row],[GENDER]])</f>
        <v>Female</v>
      </c>
      <c r="I37" s="2">
        <v>45798</v>
      </c>
      <c r="J37" s="1" t="s">
        <v>99</v>
      </c>
      <c r="K37" s="1" t="str">
        <f>PROPER(vw_DSA_Mall_Transaction[[#This Row],[ADDRESS]])</f>
        <v>10 Marvelous Road, Ottawa</v>
      </c>
      <c r="L37" s="3">
        <v>63400.328125</v>
      </c>
    </row>
    <row r="38" spans="1:12" x14ac:dyDescent="0.3">
      <c r="A38" s="1" t="s">
        <v>82</v>
      </c>
      <c r="B38">
        <v>511</v>
      </c>
      <c r="C38" s="1" t="s">
        <v>100</v>
      </c>
      <c r="D38" s="1" t="str">
        <f>PROPER(vw_DSA_Mall_Transaction[[#This Row],[FIRST NAME]])</f>
        <v>Johnson</v>
      </c>
      <c r="E38" s="1" t="s">
        <v>101</v>
      </c>
      <c r="F38" s="1" t="str">
        <f>PROPER(vw_DSA_Mall_Transaction[[#This Row],[LAST NAME]])</f>
        <v>Fournier</v>
      </c>
      <c r="G38" s="1" t="s">
        <v>17</v>
      </c>
      <c r="H38" s="1" t="str">
        <f>PROPER(vw_DSA_Mall_Transaction[[#This Row],[GENDER]])</f>
        <v>Female</v>
      </c>
      <c r="I38" s="2">
        <v>45798</v>
      </c>
      <c r="J38" s="1" t="s">
        <v>102</v>
      </c>
      <c r="K38" s="1" t="str">
        <f>PROPER(vw_DSA_Mall_Transaction[[#This Row],[ADDRESS]])</f>
        <v>9 Blackburn Road, Okun</v>
      </c>
      <c r="L38" s="3">
        <v>9875</v>
      </c>
    </row>
    <row r="39" spans="1:12" x14ac:dyDescent="0.3">
      <c r="A39" s="1" t="s">
        <v>82</v>
      </c>
      <c r="B39">
        <v>516</v>
      </c>
      <c r="C39" s="1" t="s">
        <v>103</v>
      </c>
      <c r="D39" s="1" t="str">
        <f>PROPER(vw_DSA_Mall_Transaction[[#This Row],[FIRST NAME]])</f>
        <v>Emmanuel</v>
      </c>
      <c r="E39" s="1" t="s">
        <v>104</v>
      </c>
      <c r="F39" s="1" t="str">
        <f>PROPER(vw_DSA_Mall_Transaction[[#This Row],[LAST NAME]])</f>
        <v>Abubakar</v>
      </c>
      <c r="G39" s="1" t="s">
        <v>11</v>
      </c>
      <c r="H39" s="1" t="str">
        <f>PROPER(vw_DSA_Mall_Transaction[[#This Row],[GENDER]])</f>
        <v>Male</v>
      </c>
      <c r="I39" s="2">
        <v>45798</v>
      </c>
      <c r="J39" s="1" t="s">
        <v>105</v>
      </c>
      <c r="K39" s="1" t="str">
        <f>PROPER(vw_DSA_Mall_Transaction[[#This Row],[ADDRESS]])</f>
        <v>7 Aboaba Street, Ikeja</v>
      </c>
      <c r="L39" s="3">
        <v>7788.330078125</v>
      </c>
    </row>
    <row r="40" spans="1:12" x14ac:dyDescent="0.3">
      <c r="A40" s="1" t="s">
        <v>82</v>
      </c>
      <c r="B40">
        <v>516</v>
      </c>
      <c r="C40" s="1" t="s">
        <v>31</v>
      </c>
      <c r="D40" s="1" t="str">
        <f>PROPER(vw_DSA_Mall_Transaction[[#This Row],[FIRST NAME]])</f>
        <v>Marvelous</v>
      </c>
      <c r="E40" s="1" t="s">
        <v>74</v>
      </c>
      <c r="F40" s="1" t="str">
        <f>PROPER(vw_DSA_Mall_Transaction[[#This Row],[LAST NAME]])</f>
        <v>Jeremiah</v>
      </c>
      <c r="G40" s="1" t="s">
        <v>17</v>
      </c>
      <c r="H40" s="1" t="str">
        <f>PROPER(vw_DSA_Mall_Transaction[[#This Row],[GENDER]])</f>
        <v>Female</v>
      </c>
      <c r="I40" s="2">
        <v>45798</v>
      </c>
      <c r="J40" s="1" t="s">
        <v>106</v>
      </c>
      <c r="K40" s="1" t="str">
        <f>PROPER(vw_DSA_Mall_Transaction[[#This Row],[ADDRESS]])</f>
        <v>9Toyin Quarter, Allen Avenue</v>
      </c>
      <c r="L40" s="3">
        <v>3590.05004882812</v>
      </c>
    </row>
    <row r="41" spans="1:12" x14ac:dyDescent="0.3">
      <c r="A41" s="1" t="s">
        <v>82</v>
      </c>
      <c r="B41">
        <v>519</v>
      </c>
      <c r="C41" s="1" t="s">
        <v>107</v>
      </c>
      <c r="D41" s="1" t="str">
        <f>PROPER(vw_DSA_Mall_Transaction[[#This Row],[FIRST NAME]])</f>
        <v>Akpabio</v>
      </c>
      <c r="E41" s="1" t="s">
        <v>108</v>
      </c>
      <c r="F41" s="1" t="str">
        <f>PROPER(vw_DSA_Mall_Transaction[[#This Row],[LAST NAME]])</f>
        <v>Akinbho</v>
      </c>
      <c r="G41" s="1" t="s">
        <v>17</v>
      </c>
      <c r="H41" s="1" t="str">
        <f>PROPER(vw_DSA_Mall_Transaction[[#This Row],[GENDER]])</f>
        <v>Female</v>
      </c>
      <c r="I41" s="2">
        <v>45798</v>
      </c>
      <c r="J41" s="1" t="s">
        <v>109</v>
      </c>
      <c r="K41" s="1" t="str">
        <f>PROPER(vw_DSA_Mall_Transaction[[#This Row],[ADDRESS]])</f>
        <v>9 Akinola Street, Ikeja</v>
      </c>
      <c r="L41" s="3">
        <v>9500.5</v>
      </c>
    </row>
    <row r="42" spans="1:12" x14ac:dyDescent="0.3">
      <c r="A42" s="1" t="s">
        <v>82</v>
      </c>
      <c r="B42">
        <v>520</v>
      </c>
      <c r="C42" s="1" t="s">
        <v>37</v>
      </c>
      <c r="D42" s="1" t="str">
        <f>PROPER(vw_DSA_Mall_Transaction[[#This Row],[FIRST NAME]])</f>
        <v>Latana</v>
      </c>
      <c r="E42" s="1" t="s">
        <v>32</v>
      </c>
      <c r="F42" s="1" t="str">
        <f>PROPER(vw_DSA_Mall_Transaction[[#This Row],[LAST NAME]])</f>
        <v>Jerremy</v>
      </c>
      <c r="G42" s="1" t="s">
        <v>11</v>
      </c>
      <c r="H42" s="1" t="str">
        <f>PROPER(vw_DSA_Mall_Transaction[[#This Row],[GENDER]])</f>
        <v>Male</v>
      </c>
      <c r="I42" s="2">
        <v>45798</v>
      </c>
      <c r="J42" s="1" t="s">
        <v>110</v>
      </c>
      <c r="K42" s="1" t="str">
        <f>PROPER(vw_DSA_Mall_Transaction[[#This Row],[ADDRESS]])</f>
        <v>9 Ifelofudn Quarter, Opebi</v>
      </c>
      <c r="L42" s="3">
        <v>75090.3515625</v>
      </c>
    </row>
    <row r="43" spans="1:12" x14ac:dyDescent="0.3">
      <c r="A43" s="1" t="s">
        <v>82</v>
      </c>
      <c r="B43">
        <v>521</v>
      </c>
      <c r="C43" s="1" t="s">
        <v>15</v>
      </c>
      <c r="D43" s="1" t="str">
        <f>PROPER(vw_DSA_Mall_Transaction[[#This Row],[FIRST NAME]])</f>
        <v>Igbayin</v>
      </c>
      <c r="E43" s="1" t="s">
        <v>16</v>
      </c>
      <c r="F43" s="1" t="str">
        <f>PROPER(vw_DSA_Mall_Transaction[[#This Row],[LAST NAME]])</f>
        <v>Elizabeth</v>
      </c>
      <c r="G43" s="1" t="s">
        <v>17</v>
      </c>
      <c r="H43" s="1" t="str">
        <f>PROPER(vw_DSA_Mall_Transaction[[#This Row],[GENDER]])</f>
        <v>Female</v>
      </c>
      <c r="I43" s="2">
        <v>45798</v>
      </c>
      <c r="J43" s="1" t="s">
        <v>88</v>
      </c>
      <c r="K43" s="1" t="str">
        <f>PROPER(vw_DSA_Mall_Transaction[[#This Row],[ADDRESS]])</f>
        <v>100 Kukuma Street, Opebi</v>
      </c>
      <c r="L43" s="3">
        <v>8100.7900390625</v>
      </c>
    </row>
    <row r="44" spans="1:12" x14ac:dyDescent="0.3">
      <c r="A44" s="1" t="s">
        <v>82</v>
      </c>
      <c r="B44">
        <v>522</v>
      </c>
      <c r="C44" s="1" t="s">
        <v>111</v>
      </c>
      <c r="D44" s="1" t="str">
        <f>PROPER(vw_DSA_Mall_Transaction[[#This Row],[FIRST NAME]])</f>
        <v>Kozyrkov</v>
      </c>
      <c r="E44" s="1" t="s">
        <v>112</v>
      </c>
      <c r="F44" s="1" t="str">
        <f>PROPER(vw_DSA_Mall_Transaction[[#This Row],[LAST NAME]])</f>
        <v>Arguelles</v>
      </c>
      <c r="G44" s="1" t="s">
        <v>17</v>
      </c>
      <c r="H44" s="1" t="str">
        <f>PROPER(vw_DSA_Mall_Transaction[[#This Row],[GENDER]])</f>
        <v>Female</v>
      </c>
      <c r="I44" s="2">
        <v>45798</v>
      </c>
      <c r="J44" s="1" t="s">
        <v>109</v>
      </c>
      <c r="K44" s="1" t="str">
        <f>PROPER(vw_DSA_Mall_Transaction[[#This Row],[ADDRESS]])</f>
        <v>9 Akinola Street, Ikeja</v>
      </c>
      <c r="L44" s="3">
        <v>9500.5</v>
      </c>
    </row>
    <row r="45" spans="1:12" x14ac:dyDescent="0.3">
      <c r="A45" s="1" t="s">
        <v>82</v>
      </c>
      <c r="B45">
        <v>523</v>
      </c>
      <c r="C45" s="1" t="s">
        <v>113</v>
      </c>
      <c r="D45" s="1" t="str">
        <f>PROPER(vw_DSA_Mall_Transaction[[#This Row],[FIRST NAME]])</f>
        <v>Adeloloa</v>
      </c>
      <c r="E45" s="1" t="s">
        <v>114</v>
      </c>
      <c r="F45" s="1" t="str">
        <f>PROPER(vw_DSA_Mall_Transaction[[#This Row],[LAST NAME]])</f>
        <v>Jacob</v>
      </c>
      <c r="G45" s="1" t="s">
        <v>11</v>
      </c>
      <c r="H45" s="1" t="str">
        <f>PROPER(vw_DSA_Mall_Transaction[[#This Row],[GENDER]])</f>
        <v>Male</v>
      </c>
      <c r="I45" s="2">
        <v>45798</v>
      </c>
      <c r="J45" s="1" t="s">
        <v>21</v>
      </c>
      <c r="K45" s="1" t="str">
        <f>PROPER(vw_DSA_Mall_Transaction[[#This Row],[ADDRESS]])</f>
        <v>7 Ababa Street, Makunn</v>
      </c>
      <c r="L45" s="3">
        <v>69899.890625</v>
      </c>
    </row>
    <row r="46" spans="1:12" x14ac:dyDescent="0.3">
      <c r="A46" s="1" t="s">
        <v>82</v>
      </c>
      <c r="B46">
        <v>528</v>
      </c>
      <c r="C46" s="1" t="s">
        <v>115</v>
      </c>
      <c r="D46" s="1" t="str">
        <f>PROPER(vw_DSA_Mall_Transaction[[#This Row],[FIRST NAME]])</f>
        <v>Cassie</v>
      </c>
      <c r="E46" s="1" t="s">
        <v>100</v>
      </c>
      <c r="F46" s="1" t="str">
        <f>PROPER(vw_DSA_Mall_Transaction[[#This Row],[LAST NAME]])</f>
        <v>Johnson</v>
      </c>
      <c r="G46" s="1" t="s">
        <v>11</v>
      </c>
      <c r="H46" s="1" t="str">
        <f>PROPER(vw_DSA_Mall_Transaction[[#This Row],[GENDER]])</f>
        <v>Male</v>
      </c>
      <c r="I46" s="2">
        <v>45798</v>
      </c>
      <c r="J46" s="1" t="s">
        <v>110</v>
      </c>
      <c r="K46" s="1" t="str">
        <f>PROPER(vw_DSA_Mall_Transaction[[#This Row],[ADDRESS]])</f>
        <v>9 Ifelofudn Quarter, Opebi</v>
      </c>
      <c r="L46" s="3">
        <v>785850.375</v>
      </c>
    </row>
    <row r="47" spans="1:12" x14ac:dyDescent="0.3">
      <c r="A47" s="1" t="s">
        <v>82</v>
      </c>
      <c r="B47">
        <v>544</v>
      </c>
      <c r="C47" s="1" t="s">
        <v>94</v>
      </c>
      <c r="D47" s="1" t="str">
        <f>PROPER(vw_DSA_Mall_Transaction[[#This Row],[FIRST NAME]])</f>
        <v>Kaosata</v>
      </c>
      <c r="E47" s="1" t="s">
        <v>116</v>
      </c>
      <c r="F47" s="1" t="str">
        <f>PROPER(vw_DSA_Mall_Transaction[[#This Row],[LAST NAME]])</f>
        <v>Yegge</v>
      </c>
      <c r="G47" s="1" t="s">
        <v>17</v>
      </c>
      <c r="H47" s="1" t="str">
        <f>PROPER(vw_DSA_Mall_Transaction[[#This Row],[GENDER]])</f>
        <v>Female</v>
      </c>
      <c r="I47" s="2">
        <v>45798</v>
      </c>
      <c r="J47" s="1" t="s">
        <v>96</v>
      </c>
      <c r="K47" s="1" t="str">
        <f>PROPER(vw_DSA_Mall_Transaction[[#This Row],[ADDRESS]])</f>
        <v>10 Awolowo Road, Ikeja</v>
      </c>
      <c r="L47" s="3">
        <v>37600.9296875</v>
      </c>
    </row>
    <row r="48" spans="1:12" x14ac:dyDescent="0.3">
      <c r="A48" s="1" t="s">
        <v>82</v>
      </c>
      <c r="B48">
        <v>545</v>
      </c>
      <c r="C48" s="1" t="s">
        <v>31</v>
      </c>
      <c r="D48" s="1" t="str">
        <f>PROPER(vw_DSA_Mall_Transaction[[#This Row],[FIRST NAME]])</f>
        <v>Marvelous</v>
      </c>
      <c r="E48" s="1" t="s">
        <v>74</v>
      </c>
      <c r="F48" s="1" t="str">
        <f>PROPER(vw_DSA_Mall_Transaction[[#This Row],[LAST NAME]])</f>
        <v>Jeremiah</v>
      </c>
      <c r="G48" s="1" t="s">
        <v>17</v>
      </c>
      <c r="H48" s="1" t="str">
        <f>PROPER(vw_DSA_Mall_Transaction[[#This Row],[GENDER]])</f>
        <v>Female</v>
      </c>
      <c r="I48" s="2">
        <v>45798</v>
      </c>
      <c r="J48" s="1" t="s">
        <v>106</v>
      </c>
      <c r="K48" s="1" t="str">
        <f>PROPER(vw_DSA_Mall_Transaction[[#This Row],[ADDRESS]])</f>
        <v>9Toyin Quarter, Allen Avenue</v>
      </c>
      <c r="L48" s="3">
        <v>99590.046875</v>
      </c>
    </row>
    <row r="49" spans="1:12" x14ac:dyDescent="0.3">
      <c r="A49" s="1" t="s">
        <v>82</v>
      </c>
      <c r="B49">
        <v>551</v>
      </c>
      <c r="C49" s="1" t="s">
        <v>28</v>
      </c>
      <c r="D49" s="1" t="str">
        <f>PROPER(vw_DSA_Mall_Transaction[[#This Row],[FIRST NAME]])</f>
        <v>Sunkanmi</v>
      </c>
      <c r="E49" s="1" t="s">
        <v>29</v>
      </c>
      <c r="F49" s="1" t="str">
        <f>PROPER(vw_DSA_Mall_Transaction[[#This Row],[LAST NAME]])</f>
        <v>Osagie</v>
      </c>
      <c r="G49" s="1" t="s">
        <v>17</v>
      </c>
      <c r="H49" s="1" t="str">
        <f>PROPER(vw_DSA_Mall_Transaction[[#This Row],[GENDER]])</f>
        <v>Female</v>
      </c>
      <c r="I49" s="2">
        <v>45798</v>
      </c>
      <c r="J49" s="1" t="s">
        <v>117</v>
      </c>
      <c r="K49" s="1" t="str">
        <f>PROPER(vw_DSA_Mall_Transaction[[#This Row],[ADDRESS]])</f>
        <v>9 Agric Butstop Street, Allen</v>
      </c>
      <c r="L49" s="3">
        <v>29875.0390625</v>
      </c>
    </row>
    <row r="50" spans="1:12" x14ac:dyDescent="0.3">
      <c r="A50" s="1" t="s">
        <v>82</v>
      </c>
      <c r="B50">
        <v>588</v>
      </c>
      <c r="C50" s="1" t="s">
        <v>118</v>
      </c>
      <c r="D50" s="1" t="str">
        <f>PROPER(vw_DSA_Mall_Transaction[[#This Row],[FIRST NAME]])</f>
        <v>Steve</v>
      </c>
      <c r="E50" s="1" t="s">
        <v>116</v>
      </c>
      <c r="F50" s="1" t="str">
        <f>PROPER(vw_DSA_Mall_Transaction[[#This Row],[LAST NAME]])</f>
        <v>Yegge</v>
      </c>
      <c r="G50" s="1" t="s">
        <v>17</v>
      </c>
      <c r="H50" s="1" t="str">
        <f>PROPER(vw_DSA_Mall_Transaction[[#This Row],[GENDER]])</f>
        <v>Female</v>
      </c>
      <c r="I50" s="2">
        <v>45798</v>
      </c>
      <c r="J50" s="1" t="s">
        <v>30</v>
      </c>
      <c r="K50" s="1" t="str">
        <f>PROPER(vw_DSA_Mall_Transaction[[#This Row],[ADDRESS]])</f>
        <v>9 Agric Butstop Street, Okun</v>
      </c>
      <c r="L50" s="3">
        <v>9875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B8A6B-18A4-470D-B981-4AEAF2B5F177}">
  <dimension ref="A1:H50"/>
  <sheetViews>
    <sheetView tabSelected="1" workbookViewId="0">
      <selection activeCell="G8" sqref="G8"/>
    </sheetView>
  </sheetViews>
  <sheetFormatPr defaultRowHeight="14.4" x14ac:dyDescent="0.3"/>
  <cols>
    <col min="1" max="1" width="24.21875" bestFit="1" customWidth="1"/>
    <col min="2" max="2" width="14.6640625" bestFit="1" customWidth="1"/>
    <col min="3" max="3" width="13.109375" customWidth="1"/>
    <col min="4" max="4" width="12.44140625" customWidth="1"/>
    <col min="5" max="5" width="10.21875" customWidth="1"/>
    <col min="6" max="6" width="14.77734375" customWidth="1"/>
    <col min="7" max="7" width="26.5546875" customWidth="1"/>
    <col min="8" max="8" width="22.44140625" customWidth="1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s="1" t="s">
        <v>8</v>
      </c>
      <c r="B2">
        <v>200</v>
      </c>
      <c r="C2" s="1" t="str">
        <f>PROPER(vw_DSA_Mall_Transaction[[#This Row],[FIRST NAME]])</f>
        <v>Femk</v>
      </c>
      <c r="D2" s="1" t="str">
        <f>PROPER(vw_DSA_Mall_Transaction[[#This Row],[LAST NAME]])</f>
        <v>Abdul</v>
      </c>
      <c r="E2" s="1" t="str">
        <f>PROPER(vw_DSA_Mall_Transaction[[#This Row],[GENDER]])</f>
        <v>Male</v>
      </c>
      <c r="F2" s="2">
        <v>45798</v>
      </c>
      <c r="G2" s="1" t="str">
        <f>PROPER(vw_DSA_Mall_Transaction[[#This Row],[ADDRESS]])</f>
        <v>9 Old Road</v>
      </c>
      <c r="H2" s="3">
        <v>88000</v>
      </c>
    </row>
    <row r="3" spans="1:8" x14ac:dyDescent="0.3">
      <c r="A3" s="1" t="s">
        <v>8</v>
      </c>
      <c r="B3">
        <v>201</v>
      </c>
      <c r="C3" s="1" t="str">
        <f>PROPER(vw_DSA_Mall_Transaction[[#This Row],[FIRST NAME]])</f>
        <v>Isaiah</v>
      </c>
      <c r="D3" s="1" t="str">
        <f>PROPER(vw_DSA_Mall_Transaction[[#This Row],[LAST NAME]])</f>
        <v>John</v>
      </c>
      <c r="E3" s="1" t="str">
        <f>PROPER(vw_DSA_Mall_Transaction[[#This Row],[GENDER]])</f>
        <v>Male</v>
      </c>
      <c r="F3" s="2">
        <v>45798</v>
      </c>
      <c r="G3" s="5" t="str">
        <f>PROPER(vw_DSA_Mall_Transaction[[#This Row],[ADDRESS]])</f>
        <v>22 Alaly Street, Okun</v>
      </c>
      <c r="H3" s="3">
        <v>1590.32995605469</v>
      </c>
    </row>
    <row r="4" spans="1:8" x14ac:dyDescent="0.3">
      <c r="A4" s="1" t="s">
        <v>8</v>
      </c>
      <c r="B4">
        <v>204</v>
      </c>
      <c r="C4" s="1" t="str">
        <f>PROPER(vw_DSA_Mall_Transaction[[#This Row],[FIRST NAME]])</f>
        <v>Igbayin</v>
      </c>
      <c r="D4" s="1" t="str">
        <f>PROPER(vw_DSA_Mall_Transaction[[#This Row],[LAST NAME]])</f>
        <v>Elizabeth</v>
      </c>
      <c r="E4" s="1" t="str">
        <f>PROPER(vw_DSA_Mall_Transaction[[#This Row],[GENDER]])</f>
        <v>Female</v>
      </c>
      <c r="F4" s="2">
        <v>45798</v>
      </c>
      <c r="G4" s="1" t="str">
        <f>PROPER(vw_DSA_Mall_Transaction[[#This Row],[ADDRESS]])</f>
        <v>100 Kukuma Street, Epe</v>
      </c>
      <c r="H4" s="3">
        <v>89100.6875</v>
      </c>
    </row>
    <row r="5" spans="1:8" x14ac:dyDescent="0.3">
      <c r="A5" s="1" t="s">
        <v>8</v>
      </c>
      <c r="B5">
        <v>206</v>
      </c>
      <c r="C5" s="1" t="str">
        <f>PROPER(vw_DSA_Mall_Transaction[[#This Row],[FIRST NAME]])</f>
        <v>Emma</v>
      </c>
      <c r="D5" s="1" t="str">
        <f>PROPER(vw_DSA_Mall_Transaction[[#This Row],[LAST NAME]])</f>
        <v>Abu</v>
      </c>
      <c r="E5" s="1" t="str">
        <f>PROPER(vw_DSA_Mall_Transaction[[#This Row],[GENDER]])</f>
        <v>Male</v>
      </c>
      <c r="F5" s="2">
        <v>45798</v>
      </c>
      <c r="G5" s="1" t="str">
        <f>PROPER(vw_DSA_Mall_Transaction[[#This Row],[ADDRESS]])</f>
        <v>7 Ababa Street, Makunn</v>
      </c>
      <c r="H5" s="3">
        <v>6788.330078125</v>
      </c>
    </row>
    <row r="6" spans="1:8" x14ac:dyDescent="0.3">
      <c r="A6" s="1" t="s">
        <v>8</v>
      </c>
      <c r="B6">
        <v>209</v>
      </c>
      <c r="C6" s="1" t="str">
        <f>PROPER(vw_DSA_Mall_Transaction[[#This Row],[FIRST NAME]])</f>
        <v>Oge</v>
      </c>
      <c r="D6" s="1" t="str">
        <f>PROPER(vw_DSA_Mall_Transaction[[#This Row],[LAST NAME]])</f>
        <v>Kunle</v>
      </c>
      <c r="E6" s="1" t="str">
        <f>PROPER(vw_DSA_Mall_Transaction[[#This Row],[GENDER]])</f>
        <v>Male</v>
      </c>
      <c r="F6" s="2">
        <v>45798</v>
      </c>
      <c r="G6" s="1" t="str">
        <f>PROPER(vw_DSA_Mall_Transaction[[#This Row],[ADDRESS]])</f>
        <v>10 Iwo Street, Liverpool</v>
      </c>
      <c r="H6" s="3">
        <v>7860.330078125</v>
      </c>
    </row>
    <row r="7" spans="1:8" x14ac:dyDescent="0.3">
      <c r="A7" s="1" t="s">
        <v>8</v>
      </c>
      <c r="B7">
        <v>210</v>
      </c>
      <c r="C7" s="1" t="str">
        <f>PROPER(vw_DSA_Mall_Transaction[[#This Row],[FIRST NAME]])</f>
        <v>Kara</v>
      </c>
      <c r="D7" s="1" t="str">
        <f>PROPER(vw_DSA_Mall_Transaction[[#This Row],[LAST NAME]])</f>
        <v>Ogun</v>
      </c>
      <c r="E7" s="1" t="str">
        <f>PROPER(vw_DSA_Mall_Transaction[[#This Row],[GENDER]])</f>
        <v>Female</v>
      </c>
      <c r="F7" s="2">
        <v>45798</v>
      </c>
      <c r="G7" s="1" t="str">
        <f>PROPER(vw_DSA_Mall_Transaction[[#This Row],[ADDRESS]])</f>
        <v>10 Hahroh Road, Ottawa</v>
      </c>
      <c r="H7" s="3">
        <v>3400.330078125</v>
      </c>
    </row>
    <row r="8" spans="1:8" x14ac:dyDescent="0.3">
      <c r="A8" s="1" t="s">
        <v>8</v>
      </c>
      <c r="B8">
        <v>211</v>
      </c>
      <c r="C8" s="1" t="str">
        <f>PROPER(vw_DSA_Mall_Transaction[[#This Row],[FIRST NAME]])</f>
        <v>Sunkanmi</v>
      </c>
      <c r="D8" s="1" t="str">
        <f>PROPER(vw_DSA_Mall_Transaction[[#This Row],[LAST NAME]])</f>
        <v>Osagie</v>
      </c>
      <c r="E8" s="1" t="str">
        <f>PROPER(vw_DSA_Mall_Transaction[[#This Row],[GENDER]])</f>
        <v>Female</v>
      </c>
      <c r="F8" s="2">
        <v>45798</v>
      </c>
      <c r="G8" s="6" t="str">
        <f>PROPER(vw_DSA_Mall_Transaction[[#This Row],[ADDRESS]])</f>
        <v>9 Agric Butstop Street, Okun</v>
      </c>
      <c r="H8" s="3">
        <v>89875</v>
      </c>
    </row>
    <row r="9" spans="1:8" x14ac:dyDescent="0.3">
      <c r="A9" s="1" t="s">
        <v>8</v>
      </c>
      <c r="B9">
        <v>216</v>
      </c>
      <c r="C9" s="1" t="str">
        <f>PROPER(vw_DSA_Mall_Transaction[[#This Row],[FIRST NAME]])</f>
        <v>Marvelous</v>
      </c>
      <c r="D9" s="1" t="str">
        <f>PROPER(vw_DSA_Mall_Transaction[[#This Row],[LAST NAME]])</f>
        <v>Jerremy</v>
      </c>
      <c r="E9" s="1" t="str">
        <f>PROPER(vw_DSA_Mall_Transaction[[#This Row],[GENDER]])</f>
        <v>Female</v>
      </c>
      <c r="F9" s="2">
        <v>45798</v>
      </c>
      <c r="G9" s="1" t="str">
        <f>PROPER(vw_DSA_Mall_Transaction[[#This Row],[ADDRESS]])</f>
        <v>9 Jo Grey Quarter, Igbo</v>
      </c>
      <c r="H9" s="3">
        <v>53590.3515625</v>
      </c>
    </row>
    <row r="10" spans="1:8" x14ac:dyDescent="0.3">
      <c r="A10" s="1" t="s">
        <v>8</v>
      </c>
      <c r="B10">
        <v>219</v>
      </c>
      <c r="C10" s="1" t="str">
        <f>PROPER(vw_DSA_Mall_Transaction[[#This Row],[FIRST NAME]])</f>
        <v>Mummry</v>
      </c>
      <c r="D10" s="1" t="str">
        <f>PROPER(vw_DSA_Mall_Transaction[[#This Row],[LAST NAME]])</f>
        <v>Akinbho</v>
      </c>
      <c r="E10" s="1" t="str">
        <f>PROPER(vw_DSA_Mall_Transaction[[#This Row],[GENDER]])</f>
        <v>Female</v>
      </c>
      <c r="F10" s="2">
        <v>45798</v>
      </c>
      <c r="G10" s="1" t="str">
        <f>PROPER(vw_DSA_Mall_Transaction[[#This Row],[ADDRESS]])</f>
        <v>9 Babaoluwa Quarter, Ipaha</v>
      </c>
      <c r="H10" s="3">
        <v>9000.5</v>
      </c>
    </row>
    <row r="11" spans="1:8" x14ac:dyDescent="0.3">
      <c r="A11" s="1" t="s">
        <v>8</v>
      </c>
      <c r="B11">
        <v>220</v>
      </c>
      <c r="C11" s="1" t="str">
        <f>PROPER(vw_DSA_Mall_Transaction[[#This Row],[FIRST NAME]])</f>
        <v>Latana</v>
      </c>
      <c r="D11" s="1" t="str">
        <f>PROPER(vw_DSA_Mall_Transaction[[#This Row],[LAST NAME]])</f>
        <v>Jerremy</v>
      </c>
      <c r="E11" s="1" t="str">
        <f>PROPER(vw_DSA_Mall_Transaction[[#This Row],[GENDER]])</f>
        <v>Male</v>
      </c>
      <c r="F11" s="2">
        <v>45798</v>
      </c>
      <c r="G11" s="1" t="str">
        <f>PROPER(vw_DSA_Mall_Transaction[[#This Row],[ADDRESS]])</f>
        <v>9 Ifelofudn Quarter, Ado</v>
      </c>
      <c r="H11" s="3">
        <v>15090.349609375</v>
      </c>
    </row>
    <row r="12" spans="1:8" x14ac:dyDescent="0.3">
      <c r="A12" s="1" t="s">
        <v>8</v>
      </c>
      <c r="B12">
        <v>233</v>
      </c>
      <c r="C12" s="1" t="str">
        <f>PROPER(vw_DSA_Mall_Transaction[[#This Row],[FIRST NAME]])</f>
        <v>Adewale</v>
      </c>
      <c r="D12" s="1" t="str">
        <f>PROPER(vw_DSA_Mall_Transaction[[#This Row],[LAST NAME]])</f>
        <v>Eleshoh</v>
      </c>
      <c r="E12" s="1" t="str">
        <f>PROPER(vw_DSA_Mall_Transaction[[#This Row],[GENDER]])</f>
        <v>Male</v>
      </c>
      <c r="F12" s="2">
        <v>45798</v>
      </c>
      <c r="G12" s="1" t="str">
        <f>PROPER(vw_DSA_Mall_Transaction[[#This Row],[ADDRESS]])</f>
        <v>Plot 10 Agric Road, Ado-Lekki</v>
      </c>
      <c r="H12" s="3">
        <v>8799090</v>
      </c>
    </row>
    <row r="13" spans="1:8" x14ac:dyDescent="0.3">
      <c r="A13" s="1" t="s">
        <v>8</v>
      </c>
      <c r="B13">
        <v>243</v>
      </c>
      <c r="C13" s="1" t="str">
        <f>PROPER(vw_DSA_Mall_Transaction[[#This Row],[FIRST NAME]])</f>
        <v>Gerald</v>
      </c>
      <c r="D13" s="1" t="str">
        <f>PROPER(vw_DSA_Mall_Transaction[[#This Row],[LAST NAME]])</f>
        <v>Jerremy</v>
      </c>
      <c r="E13" s="1" t="str">
        <f>PROPER(vw_DSA_Mall_Transaction[[#This Row],[GENDER]])</f>
        <v>Male</v>
      </c>
      <c r="F13" s="2">
        <v>45798</v>
      </c>
      <c r="G13" s="1" t="str">
        <f>PROPER(vw_DSA_Mall_Transaction[[#This Row],[ADDRESS]])</f>
        <v>9 Marteen Quarter, Liverpool</v>
      </c>
      <c r="H13" s="3">
        <v>903590</v>
      </c>
    </row>
    <row r="14" spans="1:8" x14ac:dyDescent="0.3">
      <c r="A14" s="1" t="s">
        <v>8</v>
      </c>
      <c r="B14">
        <v>245</v>
      </c>
      <c r="C14" s="1" t="str">
        <f>PROPER(vw_DSA_Mall_Transaction[[#This Row],[FIRST NAME]])</f>
        <v>Debbry</v>
      </c>
      <c r="D14" s="1" t="str">
        <f>PROPER(vw_DSA_Mall_Transaction[[#This Row],[LAST NAME]])</f>
        <v>Alex</v>
      </c>
      <c r="E14" s="1" t="str">
        <f>PROPER(vw_DSA_Mall_Transaction[[#This Row],[GENDER]])</f>
        <v>Female</v>
      </c>
      <c r="F14" s="2">
        <v>45798</v>
      </c>
      <c r="G14" s="1" t="str">
        <f>PROPER(vw_DSA_Mall_Transaction[[#This Row],[ADDRESS]])</f>
        <v>89  Maroko Street, Ottawa</v>
      </c>
      <c r="H14" s="3">
        <v>900400.75</v>
      </c>
    </row>
    <row r="15" spans="1:8" x14ac:dyDescent="0.3">
      <c r="A15" s="1" t="s">
        <v>8</v>
      </c>
      <c r="B15">
        <v>250</v>
      </c>
      <c r="C15" s="1" t="str">
        <f>PROPER(vw_DSA_Mall_Transaction[[#This Row],[FIRST NAME]])</f>
        <v>Alexander</v>
      </c>
      <c r="D15" s="1" t="str">
        <f>PROPER(vw_DSA_Mall_Transaction[[#This Row],[LAST NAME]])</f>
        <v>Osagie</v>
      </c>
      <c r="E15" s="1" t="str">
        <f>PROPER(vw_DSA_Mall_Transaction[[#This Row],[GENDER]])</f>
        <v>Male</v>
      </c>
      <c r="F15" s="2">
        <v>45798</v>
      </c>
      <c r="G15" s="1" t="str">
        <f>PROPER(vw_DSA_Mall_Transaction[[#This Row],[ADDRESS]])</f>
        <v>Plot 1233 Butstop Street, Ikeja</v>
      </c>
      <c r="H15" s="3">
        <v>674422.875</v>
      </c>
    </row>
    <row r="16" spans="1:8" x14ac:dyDescent="0.3">
      <c r="A16" s="1" t="s">
        <v>8</v>
      </c>
      <c r="B16">
        <v>290</v>
      </c>
      <c r="C16" s="1" t="str">
        <f>PROPER(vw_DSA_Mall_Transaction[[#This Row],[FIRST NAME]])</f>
        <v>Saraki</v>
      </c>
      <c r="D16" s="1" t="str">
        <f>PROPER(vw_DSA_Mall_Transaction[[#This Row],[LAST NAME]])</f>
        <v>Abu</v>
      </c>
      <c r="E16" s="1" t="str">
        <f>PROPER(vw_DSA_Mall_Transaction[[#This Row],[GENDER]])</f>
        <v>Male</v>
      </c>
      <c r="F16" s="2">
        <v>45798</v>
      </c>
      <c r="G16" s="1" t="str">
        <f>PROPER(vw_DSA_Mall_Transaction[[#This Row],[ADDRESS]])</f>
        <v>Plot Ozambe Madiwa, Makunn</v>
      </c>
      <c r="H16" s="3">
        <v>525353.75</v>
      </c>
    </row>
    <row r="17" spans="1:8" x14ac:dyDescent="0.3">
      <c r="A17" s="1" t="s">
        <v>53</v>
      </c>
      <c r="B17">
        <v>100</v>
      </c>
      <c r="C17" s="1" t="str">
        <f>PROPER(vw_DSA_Mall_Transaction[[#This Row],[FIRST NAME]])</f>
        <v>Ramesh</v>
      </c>
      <c r="D17" s="1" t="str">
        <f>PROPER(vw_DSA_Mall_Transaction[[#This Row],[LAST NAME]])</f>
        <v>Abdukl</v>
      </c>
      <c r="E17" s="1" t="str">
        <f>PROPER(vw_DSA_Mall_Transaction[[#This Row],[GENDER]])</f>
        <v>Male</v>
      </c>
      <c r="F17" s="2">
        <v>45798</v>
      </c>
      <c r="G17" s="1" t="str">
        <f>PROPER(vw_DSA_Mall_Transaction[[#This Row],[ADDRESS]])</f>
        <v>8 Ahmed Road</v>
      </c>
      <c r="H17" s="3">
        <v>2000</v>
      </c>
    </row>
    <row r="18" spans="1:8" x14ac:dyDescent="0.3">
      <c r="A18" s="1" t="s">
        <v>53</v>
      </c>
      <c r="B18">
        <v>108</v>
      </c>
      <c r="C18" s="1" t="str">
        <f>PROPER(vw_DSA_Mall_Transaction[[#This Row],[FIRST NAME]])</f>
        <v>Orobiyi</v>
      </c>
      <c r="D18" s="1" t="str">
        <f>PROPER(vw_DSA_Mall_Transaction[[#This Row],[LAST NAME]])</f>
        <v>Kekerekun</v>
      </c>
      <c r="E18" s="1" t="str">
        <f>PROPER(vw_DSA_Mall_Transaction[[#This Row],[GENDER]])</f>
        <v>Male</v>
      </c>
      <c r="F18" s="2">
        <v>45798</v>
      </c>
      <c r="G18" s="1" t="str">
        <f>PROPER(vw_DSA_Mall_Transaction[[#This Row],[ADDRESS]])</f>
        <v>88 Malele Road, Ijebu</v>
      </c>
      <c r="H18" s="3">
        <v>6500.330078125</v>
      </c>
    </row>
    <row r="19" spans="1:8" x14ac:dyDescent="0.3">
      <c r="A19" s="1" t="s">
        <v>53</v>
      </c>
      <c r="B19">
        <v>109</v>
      </c>
      <c r="C19" s="1" t="str">
        <f>PROPER(vw_DSA_Mall_Transaction[[#This Row],[FIRST NAME]])</f>
        <v>Sunkanmi</v>
      </c>
      <c r="D19" s="1" t="str">
        <f>PROPER(vw_DSA_Mall_Transaction[[#This Row],[LAST NAME]])</f>
        <v>Alade</v>
      </c>
      <c r="E19" s="1" t="str">
        <f>PROPER(vw_DSA_Mall_Transaction[[#This Row],[GENDER]])</f>
        <v>Male</v>
      </c>
      <c r="F19" s="2">
        <v>45798</v>
      </c>
      <c r="G19" s="1" t="str">
        <f>PROPER(vw_DSA_Mall_Transaction[[#This Row],[ADDRESS]])</f>
        <v>9 Orebiyi Street, Okun</v>
      </c>
      <c r="H19" s="3">
        <v>37575</v>
      </c>
    </row>
    <row r="20" spans="1:8" x14ac:dyDescent="0.3">
      <c r="A20" s="1" t="s">
        <v>53</v>
      </c>
      <c r="B20">
        <v>110</v>
      </c>
      <c r="C20" s="1" t="str">
        <f>PROPER(vw_DSA_Mall_Transaction[[#This Row],[FIRST NAME]])</f>
        <v>Kara</v>
      </c>
      <c r="D20" s="1" t="str">
        <f>PROPER(vw_DSA_Mall_Transaction[[#This Row],[LAST NAME]])</f>
        <v>Ogun</v>
      </c>
      <c r="E20" s="1" t="str">
        <f>PROPER(vw_DSA_Mall_Transaction[[#This Row],[GENDER]])</f>
        <v>Male</v>
      </c>
      <c r="F20" s="2">
        <v>45798</v>
      </c>
      <c r="G20" s="1" t="str">
        <f>PROPER(vw_DSA_Mall_Transaction[[#This Row],[ADDRESS]])</f>
        <v>10 Hahroh Road, Ottawa</v>
      </c>
      <c r="H20" s="3">
        <v>3400.330078125</v>
      </c>
    </row>
    <row r="21" spans="1:8" x14ac:dyDescent="0.3">
      <c r="A21" s="1" t="s">
        <v>53</v>
      </c>
      <c r="B21">
        <v>111</v>
      </c>
      <c r="C21" s="1" t="str">
        <f>PROPER(vw_DSA_Mall_Transaction[[#This Row],[FIRST NAME]])</f>
        <v>Malik</v>
      </c>
      <c r="D21" s="1" t="str">
        <f>PROPER(vw_DSA_Mall_Transaction[[#This Row],[LAST NAME]])</f>
        <v>Delhi</v>
      </c>
      <c r="E21" s="1" t="str">
        <f>PROPER(vw_DSA_Mall_Transaction[[#This Row],[GENDER]])</f>
        <v>Female</v>
      </c>
      <c r="F21" s="2">
        <v>45798</v>
      </c>
      <c r="G21" s="1" t="str">
        <f>PROPER(vw_DSA_Mall_Transaction[[#This Row],[ADDRESS]])</f>
        <v>2 Agriiv Stree, Makunn</v>
      </c>
      <c r="H21" s="3">
        <v>1999.32995605469</v>
      </c>
    </row>
    <row r="22" spans="1:8" x14ac:dyDescent="0.3">
      <c r="A22" s="1" t="s">
        <v>53</v>
      </c>
      <c r="B22">
        <v>115</v>
      </c>
      <c r="C22" s="1" t="str">
        <f>PROPER(vw_DSA_Mall_Transaction[[#This Row],[FIRST NAME]])</f>
        <v>Igbati</v>
      </c>
      <c r="D22" s="1" t="str">
        <f>PROPER(vw_DSA_Mall_Transaction[[#This Row],[LAST NAME]])</f>
        <v>Bunmi</v>
      </c>
      <c r="E22" s="1" t="str">
        <f>PROPER(vw_DSA_Mall_Transaction[[#This Row],[GENDER]])</f>
        <v>Male</v>
      </c>
      <c r="F22" s="2">
        <v>45798</v>
      </c>
      <c r="G22" s="1" t="str">
        <f>PROPER(vw_DSA_Mall_Transaction[[#This Row],[ADDRESS]])</f>
        <v>90 Delhi Street, Abeokunta</v>
      </c>
      <c r="H22" s="3">
        <v>1000.69000244141</v>
      </c>
    </row>
    <row r="23" spans="1:8" x14ac:dyDescent="0.3">
      <c r="A23" s="1" t="s">
        <v>53</v>
      </c>
      <c r="B23">
        <v>119</v>
      </c>
      <c r="C23" s="1" t="str">
        <f>PROPER(vw_DSA_Mall_Transaction[[#This Row],[FIRST NAME]])</f>
        <v>Latana</v>
      </c>
      <c r="D23" s="1" t="str">
        <f>PROPER(vw_DSA_Mall_Transaction[[#This Row],[LAST NAME]])</f>
        <v>Jerremy</v>
      </c>
      <c r="E23" s="1" t="str">
        <f>PROPER(vw_DSA_Mall_Transaction[[#This Row],[GENDER]])</f>
        <v>Male</v>
      </c>
      <c r="F23" s="2">
        <v>45798</v>
      </c>
      <c r="G23" s="1" t="str">
        <f>PROPER(vw_DSA_Mall_Transaction[[#This Row],[ADDRESS]])</f>
        <v>9 Ifelofudn Quarter, Ado</v>
      </c>
      <c r="H23" s="3">
        <v>15090.349609375</v>
      </c>
    </row>
    <row r="24" spans="1:8" x14ac:dyDescent="0.3">
      <c r="A24" s="1" t="s">
        <v>53</v>
      </c>
      <c r="B24">
        <v>120</v>
      </c>
      <c r="C24" s="1" t="str">
        <f>PROPER(vw_DSA_Mall_Transaction[[#This Row],[FIRST NAME]])</f>
        <v>Mummry</v>
      </c>
      <c r="D24" s="1" t="str">
        <f>PROPER(vw_DSA_Mall_Transaction[[#This Row],[LAST NAME]])</f>
        <v>Akinbho</v>
      </c>
      <c r="E24" s="1" t="str">
        <f>PROPER(vw_DSA_Mall_Transaction[[#This Row],[GENDER]])</f>
        <v>Female</v>
      </c>
      <c r="F24" s="2">
        <v>45798</v>
      </c>
      <c r="G24" s="1" t="str">
        <f>PROPER(vw_DSA_Mall_Transaction[[#This Row],[ADDRESS]])</f>
        <v>9 Babaoluwa Quarter, Ipaha</v>
      </c>
      <c r="H24" s="3">
        <v>9000.5</v>
      </c>
    </row>
    <row r="25" spans="1:8" x14ac:dyDescent="0.3">
      <c r="A25" s="1" t="s">
        <v>53</v>
      </c>
      <c r="B25">
        <v>121</v>
      </c>
      <c r="C25" s="1" t="str">
        <f>PROPER(vw_DSA_Mall_Transaction[[#This Row],[FIRST NAME]])</f>
        <v>Khilan</v>
      </c>
      <c r="D25" s="1" t="str">
        <f>PROPER(vw_DSA_Mall_Transaction[[#This Row],[LAST NAME]])</f>
        <v>Delhi</v>
      </c>
      <c r="E25" s="1" t="str">
        <f>PROPER(vw_DSA_Mall_Transaction[[#This Row],[GENDER]])</f>
        <v>Female</v>
      </c>
      <c r="F25" s="2">
        <v>45798</v>
      </c>
      <c r="G25" s="1" t="str">
        <f>PROPER(vw_DSA_Mall_Transaction[[#This Row],[ADDRESS]])</f>
        <v>9 Delhi Stree, Okun</v>
      </c>
      <c r="H25" s="3">
        <v>1500.32995605469</v>
      </c>
    </row>
    <row r="26" spans="1:8" x14ac:dyDescent="0.3">
      <c r="A26" s="1" t="s">
        <v>53</v>
      </c>
      <c r="B26">
        <v>121</v>
      </c>
      <c r="C26" s="1" t="str">
        <f>PROPER(vw_DSA_Mall_Transaction[[#This Row],[FIRST NAME]])</f>
        <v>Saraki</v>
      </c>
      <c r="D26" s="1" t="str">
        <f>PROPER(vw_DSA_Mall_Transaction[[#This Row],[LAST NAME]])</f>
        <v>Bunmi</v>
      </c>
      <c r="E26" s="1" t="str">
        <f>PROPER(vw_DSA_Mall_Transaction[[#This Row],[GENDER]])</f>
        <v>Female</v>
      </c>
      <c r="F26" s="2">
        <v>45798</v>
      </c>
      <c r="G26" s="1" t="str">
        <f>PROPER(vw_DSA_Mall_Transaction[[#This Row],[ADDRESS]])</f>
        <v>90 Delhi Street, Abeokunta</v>
      </c>
      <c r="H26" s="3">
        <v>67400.0078125</v>
      </c>
    </row>
    <row r="27" spans="1:8" x14ac:dyDescent="0.3">
      <c r="A27" s="1" t="s">
        <v>53</v>
      </c>
      <c r="B27">
        <v>123</v>
      </c>
      <c r="C27" s="1" t="str">
        <f>PROPER(vw_DSA_Mall_Transaction[[#This Row],[FIRST NAME]])</f>
        <v>Alake</v>
      </c>
      <c r="D27" s="1" t="str">
        <f>PROPER(vw_DSA_Mall_Transaction[[#This Row],[LAST NAME]])</f>
        <v>Alagbo</v>
      </c>
      <c r="E27" s="1" t="str">
        <f>PROPER(vw_DSA_Mall_Transaction[[#This Row],[GENDER]])</f>
        <v>Female</v>
      </c>
      <c r="F27" s="2">
        <v>45798</v>
      </c>
      <c r="G27" s="1" t="str">
        <f>PROPER(vw_DSA_Mall_Transaction[[#This Row],[ADDRESS]])</f>
        <v>9 Babaoluwa Quarter, Ipaha</v>
      </c>
      <c r="H27" s="3">
        <v>74799.5078125</v>
      </c>
    </row>
    <row r="28" spans="1:8" x14ac:dyDescent="0.3">
      <c r="A28" s="1" t="s">
        <v>53</v>
      </c>
      <c r="B28">
        <v>124</v>
      </c>
      <c r="C28" s="1" t="str">
        <f>PROPER(vw_DSA_Mall_Transaction[[#This Row],[FIRST NAME]])</f>
        <v>Laropale</v>
      </c>
      <c r="D28" s="1" t="str">
        <f>PROPER(vw_DSA_Mall_Transaction[[#This Row],[LAST NAME]])</f>
        <v>Jeremiah</v>
      </c>
      <c r="E28" s="1" t="str">
        <f>PROPER(vw_DSA_Mall_Transaction[[#This Row],[GENDER]])</f>
        <v>Male</v>
      </c>
      <c r="F28" s="2">
        <v>45798</v>
      </c>
      <c r="G28" s="1" t="str">
        <f>PROPER(vw_DSA_Mall_Transaction[[#This Row],[ADDRESS]])</f>
        <v>9 Makun Ododo Quarter, Lissa</v>
      </c>
      <c r="H28" s="3">
        <v>679090.9375</v>
      </c>
    </row>
    <row r="29" spans="1:8" x14ac:dyDescent="0.3">
      <c r="A29" s="1" t="s">
        <v>53</v>
      </c>
      <c r="B29">
        <v>138</v>
      </c>
      <c r="C29" s="1" t="str">
        <f>PROPER(vw_DSA_Mall_Transaction[[#This Row],[FIRST NAME]])</f>
        <v>Samuel</v>
      </c>
      <c r="D29" s="1" t="str">
        <f>PROPER(vw_DSA_Mall_Transaction[[#This Row],[LAST NAME]])</f>
        <v>Orokpo</v>
      </c>
      <c r="E29" s="1" t="str">
        <f>PROPER(vw_DSA_Mall_Transaction[[#This Row],[GENDER]])</f>
        <v>Male</v>
      </c>
      <c r="F29" s="2">
        <v>45798</v>
      </c>
      <c r="G29" s="1" t="str">
        <f>PROPER(vw_DSA_Mall_Transaction[[#This Row],[ADDRESS]])</f>
        <v>88 Old Ife Road, Ijebu</v>
      </c>
      <c r="H29" s="3">
        <v>65990.328125</v>
      </c>
    </row>
    <row r="30" spans="1:8" x14ac:dyDescent="0.3">
      <c r="A30" s="1" t="s">
        <v>53</v>
      </c>
      <c r="B30">
        <v>141</v>
      </c>
      <c r="C30" s="1" t="str">
        <f>PROPER(vw_DSA_Mall_Transaction[[#This Row],[FIRST NAME]])</f>
        <v>Abdulmalik</v>
      </c>
      <c r="D30" s="1" t="str">
        <f>PROPER(vw_DSA_Mall_Transaction[[#This Row],[LAST NAME]])</f>
        <v>Huedeyin</v>
      </c>
      <c r="E30" s="1" t="str">
        <f>PROPER(vw_DSA_Mall_Transaction[[#This Row],[GENDER]])</f>
        <v>Male</v>
      </c>
      <c r="F30" s="2">
        <v>45798</v>
      </c>
      <c r="G30" s="1" t="str">
        <f>PROPER(vw_DSA_Mall_Transaction[[#This Row],[ADDRESS]])</f>
        <v>2 Hedeyin Road, Lakowe</v>
      </c>
      <c r="H30" s="3">
        <v>88989.9296875</v>
      </c>
    </row>
    <row r="31" spans="1:8" x14ac:dyDescent="0.3">
      <c r="A31" s="1" t="s">
        <v>123</v>
      </c>
      <c r="B31">
        <v>500</v>
      </c>
      <c r="C31" s="1" t="str">
        <f>PROPER(vw_DSA_Mall_Transaction[[#This Row],[FIRST NAME]])</f>
        <v>Gabriel</v>
      </c>
      <c r="D31" s="1" t="str">
        <f>PROPER(vw_DSA_Mall_Transaction[[#This Row],[LAST NAME]])</f>
        <v>Abdulkalid</v>
      </c>
      <c r="E31" s="1" t="str">
        <f>PROPER(vw_DSA_Mall_Transaction[[#This Row],[GENDER]])</f>
        <v>Male</v>
      </c>
      <c r="F31" s="2">
        <v>45798</v>
      </c>
      <c r="G31" s="1" t="str">
        <f>PROPER(vw_DSA_Mall_Transaction[[#This Row],[ADDRESS]])</f>
        <v>5 Old Road, Opebi</v>
      </c>
      <c r="H31" s="3">
        <v>880500</v>
      </c>
    </row>
    <row r="32" spans="1:8" x14ac:dyDescent="0.3">
      <c r="A32" s="1" t="s">
        <v>123</v>
      </c>
      <c r="B32">
        <v>501</v>
      </c>
      <c r="C32" s="1" t="str">
        <f>PROPER(vw_DSA_Mall_Transaction[[#This Row],[FIRST NAME]])</f>
        <v>Abraham</v>
      </c>
      <c r="D32" s="1" t="str">
        <f>PROPER(vw_DSA_Mall_Transaction[[#This Row],[LAST NAME]])</f>
        <v>John</v>
      </c>
      <c r="E32" s="1" t="str">
        <f>PROPER(vw_DSA_Mall_Transaction[[#This Row],[GENDER]])</f>
        <v>Female</v>
      </c>
      <c r="F32" s="2">
        <v>45798</v>
      </c>
      <c r="G32" s="1" t="str">
        <f>PROPER(vw_DSA_Mall_Transaction[[#This Row],[ADDRESS]])</f>
        <v>22 Toyin Street, Opebi</v>
      </c>
      <c r="H32" s="3">
        <v>1590.32995605469</v>
      </c>
    </row>
    <row r="33" spans="1:8" x14ac:dyDescent="0.3">
      <c r="A33" s="1" t="s">
        <v>123</v>
      </c>
      <c r="B33">
        <v>504</v>
      </c>
      <c r="C33" s="1" t="str">
        <f>PROPER(vw_DSA_Mall_Transaction[[#This Row],[FIRST NAME]])</f>
        <v>Igbayin</v>
      </c>
      <c r="D33" s="1" t="str">
        <f>PROPER(vw_DSA_Mall_Transaction[[#This Row],[LAST NAME]])</f>
        <v>Elizabeth</v>
      </c>
      <c r="E33" s="1" t="str">
        <f>PROPER(vw_DSA_Mall_Transaction[[#This Row],[GENDER]])</f>
        <v>Female</v>
      </c>
      <c r="F33" s="2">
        <v>45798</v>
      </c>
      <c r="G33" s="1" t="str">
        <f>PROPER(vw_DSA_Mall_Transaction[[#This Row],[ADDRESS]])</f>
        <v>100 Kukuma Street, Opebi</v>
      </c>
      <c r="H33" s="3">
        <v>8100.7900390625</v>
      </c>
    </row>
    <row r="34" spans="1:8" x14ac:dyDescent="0.3">
      <c r="A34" s="1" t="s">
        <v>123</v>
      </c>
      <c r="B34">
        <v>506</v>
      </c>
      <c r="C34" s="1" t="str">
        <f>PROPER(vw_DSA_Mall_Transaction[[#This Row],[FIRST NAME]])</f>
        <v xml:space="preserve">Brandeis </v>
      </c>
      <c r="D34" s="1" t="str">
        <f>PROPER(vw_DSA_Mall_Transaction[[#This Row],[LAST NAME]])</f>
        <v>Marshall</v>
      </c>
      <c r="E34" s="1" t="str">
        <f>PROPER(vw_DSA_Mall_Transaction[[#This Row],[GENDER]])</f>
        <v>Male</v>
      </c>
      <c r="F34" s="2">
        <v>45798</v>
      </c>
      <c r="G34" s="1" t="str">
        <f>PROPER(vw_DSA_Mall_Transaction[[#This Row],[ADDRESS]])</f>
        <v>7 Ababa Street, Makunn</v>
      </c>
      <c r="H34" s="3">
        <v>65588.328125</v>
      </c>
    </row>
    <row r="35" spans="1:8" x14ac:dyDescent="0.3">
      <c r="A35" s="1" t="s">
        <v>123</v>
      </c>
      <c r="B35">
        <v>509</v>
      </c>
      <c r="C35" s="1" t="str">
        <f>PROPER(vw_DSA_Mall_Transaction[[#This Row],[FIRST NAME]])</f>
        <v>Oge</v>
      </c>
      <c r="D35" s="1" t="str">
        <f>PROPER(vw_DSA_Mall_Transaction[[#This Row],[LAST NAME]])</f>
        <v>Gbenga</v>
      </c>
      <c r="E35" s="1" t="str">
        <f>PROPER(vw_DSA_Mall_Transaction[[#This Row],[GENDER]])</f>
        <v>Male</v>
      </c>
      <c r="F35" s="2">
        <v>45798</v>
      </c>
      <c r="G35" s="1" t="str">
        <f>PROPER(vw_DSA_Mall_Transaction[[#This Row],[ADDRESS]])</f>
        <v>10 Hosiptal Street, Allen Avenue</v>
      </c>
      <c r="H35" s="3">
        <v>7860.330078125</v>
      </c>
    </row>
    <row r="36" spans="1:8" x14ac:dyDescent="0.3">
      <c r="A36" s="1" t="s">
        <v>123</v>
      </c>
      <c r="B36">
        <v>510</v>
      </c>
      <c r="C36" s="1" t="str">
        <f>PROPER(vw_DSA_Mall_Transaction[[#This Row],[FIRST NAME]])</f>
        <v>Kaosata</v>
      </c>
      <c r="D36" s="1" t="str">
        <f>PROPER(vw_DSA_Mall_Transaction[[#This Row],[LAST NAME]])</f>
        <v>Michael</v>
      </c>
      <c r="E36" s="1" t="str">
        <f>PROPER(vw_DSA_Mall_Transaction[[#This Row],[GENDER]])</f>
        <v>Female</v>
      </c>
      <c r="F36" s="2">
        <v>45798</v>
      </c>
      <c r="G36" s="1" t="str">
        <f>PROPER(vw_DSA_Mall_Transaction[[#This Row],[ADDRESS]])</f>
        <v>10 Awolowo Road, Ikeja</v>
      </c>
      <c r="H36" s="3">
        <v>3700.92993164062</v>
      </c>
    </row>
    <row r="37" spans="1:8" x14ac:dyDescent="0.3">
      <c r="A37" s="1" t="s">
        <v>123</v>
      </c>
      <c r="B37">
        <v>510</v>
      </c>
      <c r="C37" s="1" t="str">
        <f>PROPER(vw_DSA_Mall_Transaction[[#This Row],[FIRST NAME]])</f>
        <v>Oluwakemi</v>
      </c>
      <c r="D37" s="1" t="str">
        <f>PROPER(vw_DSA_Mall_Transaction[[#This Row],[LAST NAME]])</f>
        <v>Marvelous</v>
      </c>
      <c r="E37" s="1" t="str">
        <f>PROPER(vw_DSA_Mall_Transaction[[#This Row],[GENDER]])</f>
        <v>Female</v>
      </c>
      <c r="F37" s="2">
        <v>45798</v>
      </c>
      <c r="G37" s="1" t="str">
        <f>PROPER(vw_DSA_Mall_Transaction[[#This Row],[ADDRESS]])</f>
        <v>10 Marvelous Road, Ottawa</v>
      </c>
      <c r="H37" s="3">
        <v>63400.328125</v>
      </c>
    </row>
    <row r="38" spans="1:8" x14ac:dyDescent="0.3">
      <c r="A38" s="1" t="s">
        <v>123</v>
      </c>
      <c r="B38">
        <v>511</v>
      </c>
      <c r="C38" s="1" t="str">
        <f>PROPER(vw_DSA_Mall_Transaction[[#This Row],[FIRST NAME]])</f>
        <v>Johnson</v>
      </c>
      <c r="D38" s="1" t="str">
        <f>PROPER(vw_DSA_Mall_Transaction[[#This Row],[LAST NAME]])</f>
        <v>Fournier</v>
      </c>
      <c r="E38" s="1" t="str">
        <f>PROPER(vw_DSA_Mall_Transaction[[#This Row],[GENDER]])</f>
        <v>Female</v>
      </c>
      <c r="F38" s="2">
        <v>45798</v>
      </c>
      <c r="G38" s="1" t="str">
        <f>PROPER(vw_DSA_Mall_Transaction[[#This Row],[ADDRESS]])</f>
        <v>9 Blackburn Road, Okun</v>
      </c>
      <c r="H38" s="3">
        <v>9875</v>
      </c>
    </row>
    <row r="39" spans="1:8" x14ac:dyDescent="0.3">
      <c r="A39" s="1" t="s">
        <v>123</v>
      </c>
      <c r="B39">
        <v>516</v>
      </c>
      <c r="C39" s="1" t="str">
        <f>PROPER(vw_DSA_Mall_Transaction[[#This Row],[FIRST NAME]])</f>
        <v>Emmanuel</v>
      </c>
      <c r="D39" s="1" t="str">
        <f>PROPER(vw_DSA_Mall_Transaction[[#This Row],[LAST NAME]])</f>
        <v>Abubakar</v>
      </c>
      <c r="E39" s="1" t="str">
        <f>PROPER(vw_DSA_Mall_Transaction[[#This Row],[GENDER]])</f>
        <v>Male</v>
      </c>
      <c r="F39" s="2">
        <v>45798</v>
      </c>
      <c r="G39" s="1" t="str">
        <f>PROPER(vw_DSA_Mall_Transaction[[#This Row],[ADDRESS]])</f>
        <v>7 Aboaba Street, Ikeja</v>
      </c>
      <c r="H39" s="3">
        <v>7788.330078125</v>
      </c>
    </row>
    <row r="40" spans="1:8" x14ac:dyDescent="0.3">
      <c r="A40" s="1" t="s">
        <v>123</v>
      </c>
      <c r="B40">
        <v>516</v>
      </c>
      <c r="C40" s="1" t="str">
        <f>PROPER(vw_DSA_Mall_Transaction[[#This Row],[FIRST NAME]])</f>
        <v>Marvelous</v>
      </c>
      <c r="D40" s="1" t="str">
        <f>PROPER(vw_DSA_Mall_Transaction[[#This Row],[LAST NAME]])</f>
        <v>Jeremiah</v>
      </c>
      <c r="E40" s="1" t="str">
        <f>PROPER(vw_DSA_Mall_Transaction[[#This Row],[GENDER]])</f>
        <v>Female</v>
      </c>
      <c r="F40" s="2">
        <v>45798</v>
      </c>
      <c r="G40" s="1" t="str">
        <f>PROPER(vw_DSA_Mall_Transaction[[#This Row],[ADDRESS]])</f>
        <v>9Toyin Quarter, Allen Avenue</v>
      </c>
      <c r="H40" s="3">
        <v>3590.05004882812</v>
      </c>
    </row>
    <row r="41" spans="1:8" x14ac:dyDescent="0.3">
      <c r="A41" s="1" t="s">
        <v>123</v>
      </c>
      <c r="B41">
        <v>519</v>
      </c>
      <c r="C41" s="1" t="str">
        <f>PROPER(vw_DSA_Mall_Transaction[[#This Row],[FIRST NAME]])</f>
        <v>Akpabio</v>
      </c>
      <c r="D41" s="1" t="str">
        <f>PROPER(vw_DSA_Mall_Transaction[[#This Row],[LAST NAME]])</f>
        <v>Akinbho</v>
      </c>
      <c r="E41" s="1" t="str">
        <f>PROPER(vw_DSA_Mall_Transaction[[#This Row],[GENDER]])</f>
        <v>Female</v>
      </c>
      <c r="F41" s="2">
        <v>45798</v>
      </c>
      <c r="G41" s="1" t="str">
        <f>PROPER(vw_DSA_Mall_Transaction[[#This Row],[ADDRESS]])</f>
        <v>9 Akinola Street, Ikeja</v>
      </c>
      <c r="H41" s="3">
        <v>9500.5</v>
      </c>
    </row>
    <row r="42" spans="1:8" x14ac:dyDescent="0.3">
      <c r="A42" s="1" t="s">
        <v>123</v>
      </c>
      <c r="B42">
        <v>520</v>
      </c>
      <c r="C42" s="1" t="str">
        <f>PROPER(vw_DSA_Mall_Transaction[[#This Row],[FIRST NAME]])</f>
        <v>Latana</v>
      </c>
      <c r="D42" s="1" t="str">
        <f>PROPER(vw_DSA_Mall_Transaction[[#This Row],[LAST NAME]])</f>
        <v>Jerremy</v>
      </c>
      <c r="E42" s="1" t="str">
        <f>PROPER(vw_DSA_Mall_Transaction[[#This Row],[GENDER]])</f>
        <v>Male</v>
      </c>
      <c r="F42" s="2">
        <v>45798</v>
      </c>
      <c r="G42" s="1" t="str">
        <f>PROPER(vw_DSA_Mall_Transaction[[#This Row],[ADDRESS]])</f>
        <v>9 Ifelofudn Quarter, Opebi</v>
      </c>
      <c r="H42" s="3">
        <v>75090.3515625</v>
      </c>
    </row>
    <row r="43" spans="1:8" x14ac:dyDescent="0.3">
      <c r="A43" s="1" t="s">
        <v>123</v>
      </c>
      <c r="B43">
        <v>521</v>
      </c>
      <c r="C43" s="1" t="str">
        <f>PROPER(vw_DSA_Mall_Transaction[[#This Row],[FIRST NAME]])</f>
        <v>Igbayin</v>
      </c>
      <c r="D43" s="1" t="str">
        <f>PROPER(vw_DSA_Mall_Transaction[[#This Row],[LAST NAME]])</f>
        <v>Elizabeth</v>
      </c>
      <c r="E43" s="1" t="str">
        <f>PROPER(vw_DSA_Mall_Transaction[[#This Row],[GENDER]])</f>
        <v>Female</v>
      </c>
      <c r="F43" s="2">
        <v>45798</v>
      </c>
      <c r="G43" s="1" t="str">
        <f>PROPER(vw_DSA_Mall_Transaction[[#This Row],[ADDRESS]])</f>
        <v>100 Kukuma Street, Opebi</v>
      </c>
      <c r="H43" s="3">
        <v>8100.7900390625</v>
      </c>
    </row>
    <row r="44" spans="1:8" x14ac:dyDescent="0.3">
      <c r="A44" s="1" t="s">
        <v>123</v>
      </c>
      <c r="B44">
        <v>522</v>
      </c>
      <c r="C44" s="1" t="str">
        <f>PROPER(vw_DSA_Mall_Transaction[[#This Row],[FIRST NAME]])</f>
        <v>Kozyrkov</v>
      </c>
      <c r="D44" s="1" t="str">
        <f>PROPER(vw_DSA_Mall_Transaction[[#This Row],[LAST NAME]])</f>
        <v>Arguelles</v>
      </c>
      <c r="E44" s="1" t="str">
        <f>PROPER(vw_DSA_Mall_Transaction[[#This Row],[GENDER]])</f>
        <v>Female</v>
      </c>
      <c r="F44" s="2">
        <v>45798</v>
      </c>
      <c r="G44" s="1" t="str">
        <f>PROPER(vw_DSA_Mall_Transaction[[#This Row],[ADDRESS]])</f>
        <v>9 Akinola Street, Ikeja</v>
      </c>
      <c r="H44" s="3">
        <v>9500.5</v>
      </c>
    </row>
    <row r="45" spans="1:8" x14ac:dyDescent="0.3">
      <c r="A45" s="1" t="s">
        <v>123</v>
      </c>
      <c r="B45">
        <v>523</v>
      </c>
      <c r="C45" s="1" t="str">
        <f>PROPER(vw_DSA_Mall_Transaction[[#This Row],[FIRST NAME]])</f>
        <v>Adeloloa</v>
      </c>
      <c r="D45" s="1" t="str">
        <f>PROPER(vw_DSA_Mall_Transaction[[#This Row],[LAST NAME]])</f>
        <v>Jacob</v>
      </c>
      <c r="E45" s="1" t="str">
        <f>PROPER(vw_DSA_Mall_Transaction[[#This Row],[GENDER]])</f>
        <v>Male</v>
      </c>
      <c r="F45" s="2">
        <v>45798</v>
      </c>
      <c r="G45" s="1" t="str">
        <f>PROPER(vw_DSA_Mall_Transaction[[#This Row],[ADDRESS]])</f>
        <v>7 Ababa Street, Makunn</v>
      </c>
      <c r="H45" s="3">
        <v>69899.890625</v>
      </c>
    </row>
    <row r="46" spans="1:8" x14ac:dyDescent="0.3">
      <c r="A46" s="1" t="s">
        <v>123</v>
      </c>
      <c r="B46">
        <v>528</v>
      </c>
      <c r="C46" s="1" t="str">
        <f>PROPER(vw_DSA_Mall_Transaction[[#This Row],[FIRST NAME]])</f>
        <v>Cassie</v>
      </c>
      <c r="D46" s="1" t="str">
        <f>PROPER(vw_DSA_Mall_Transaction[[#This Row],[LAST NAME]])</f>
        <v>Johnson</v>
      </c>
      <c r="E46" s="1" t="str">
        <f>PROPER(vw_DSA_Mall_Transaction[[#This Row],[GENDER]])</f>
        <v>Male</v>
      </c>
      <c r="F46" s="2">
        <v>45798</v>
      </c>
      <c r="G46" s="1" t="str">
        <f>PROPER(vw_DSA_Mall_Transaction[[#This Row],[ADDRESS]])</f>
        <v>9 Ifelofudn Quarter, Opebi</v>
      </c>
      <c r="H46" s="3">
        <v>785850.375</v>
      </c>
    </row>
    <row r="47" spans="1:8" x14ac:dyDescent="0.3">
      <c r="A47" s="1" t="s">
        <v>123</v>
      </c>
      <c r="B47">
        <v>544</v>
      </c>
      <c r="C47" s="1" t="str">
        <f>PROPER(vw_DSA_Mall_Transaction[[#This Row],[FIRST NAME]])</f>
        <v>Kaosata</v>
      </c>
      <c r="D47" s="1" t="str">
        <f>PROPER(vw_DSA_Mall_Transaction[[#This Row],[LAST NAME]])</f>
        <v>Yegge</v>
      </c>
      <c r="E47" s="1" t="str">
        <f>PROPER(vw_DSA_Mall_Transaction[[#This Row],[GENDER]])</f>
        <v>Female</v>
      </c>
      <c r="F47" s="2">
        <v>45798</v>
      </c>
      <c r="G47" s="1" t="str">
        <f>PROPER(vw_DSA_Mall_Transaction[[#This Row],[ADDRESS]])</f>
        <v>10 Awolowo Road, Ikeja</v>
      </c>
      <c r="H47" s="3">
        <v>37600.9296875</v>
      </c>
    </row>
    <row r="48" spans="1:8" x14ac:dyDescent="0.3">
      <c r="A48" s="1" t="s">
        <v>123</v>
      </c>
      <c r="B48">
        <v>545</v>
      </c>
      <c r="C48" s="1" t="str">
        <f>PROPER(vw_DSA_Mall_Transaction[[#This Row],[FIRST NAME]])</f>
        <v>Marvelous</v>
      </c>
      <c r="D48" s="1" t="str">
        <f>PROPER(vw_DSA_Mall_Transaction[[#This Row],[LAST NAME]])</f>
        <v>Jeremiah</v>
      </c>
      <c r="E48" s="1" t="str">
        <f>PROPER(vw_DSA_Mall_Transaction[[#This Row],[GENDER]])</f>
        <v>Female</v>
      </c>
      <c r="F48" s="2">
        <v>45798</v>
      </c>
      <c r="G48" s="1" t="str">
        <f>PROPER(vw_DSA_Mall_Transaction[[#This Row],[ADDRESS]])</f>
        <v>9Toyin Quarter, Allen Avenue</v>
      </c>
      <c r="H48" s="3">
        <v>99590.046875</v>
      </c>
    </row>
    <row r="49" spans="1:8" x14ac:dyDescent="0.3">
      <c r="A49" s="1" t="s">
        <v>123</v>
      </c>
      <c r="B49">
        <v>551</v>
      </c>
      <c r="C49" s="1" t="str">
        <f>PROPER(vw_DSA_Mall_Transaction[[#This Row],[FIRST NAME]])</f>
        <v>Sunkanmi</v>
      </c>
      <c r="D49" s="1" t="str">
        <f>PROPER(vw_DSA_Mall_Transaction[[#This Row],[LAST NAME]])</f>
        <v>Osagie</v>
      </c>
      <c r="E49" s="1" t="str">
        <f>PROPER(vw_DSA_Mall_Transaction[[#This Row],[GENDER]])</f>
        <v>Female</v>
      </c>
      <c r="F49" s="2">
        <v>45798</v>
      </c>
      <c r="G49" s="1" t="str">
        <f>PROPER(vw_DSA_Mall_Transaction[[#This Row],[ADDRESS]])</f>
        <v>9 Agric Butstop Street, Allen</v>
      </c>
      <c r="H49" s="3">
        <v>29875.0390625</v>
      </c>
    </row>
    <row r="50" spans="1:8" x14ac:dyDescent="0.3">
      <c r="A50" s="1" t="s">
        <v>123</v>
      </c>
      <c r="B50">
        <v>588</v>
      </c>
      <c r="C50" s="1" t="str">
        <f>PROPER(vw_DSA_Mall_Transaction[[#This Row],[FIRST NAME]])</f>
        <v>Steve</v>
      </c>
      <c r="D50" s="1" t="str">
        <f>PROPER(vw_DSA_Mall_Transaction[[#This Row],[LAST NAME]])</f>
        <v>Yegge</v>
      </c>
      <c r="E50" s="1" t="str">
        <f>PROPER(vw_DSA_Mall_Transaction[[#This Row],[GENDER]])</f>
        <v>Female</v>
      </c>
      <c r="F50" s="2">
        <v>45798</v>
      </c>
      <c r="G50" s="1" t="str">
        <f>PROPER(vw_DSA_Mall_Transaction[[#This Row],[ADDRESS]])</f>
        <v>9 Agric Butstop Street, Okun</v>
      </c>
      <c r="H50" s="3">
        <v>9875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701781-91DE-4EB5-8FEA-D78CCA7166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vw_DSA_Mall_Transaction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Adetosoye</dc:creator>
  <cp:lastModifiedBy>Ade Adetosoye</cp:lastModifiedBy>
  <dcterms:created xsi:type="dcterms:W3CDTF">2025-06-17T12:44:57Z</dcterms:created>
  <dcterms:modified xsi:type="dcterms:W3CDTF">2025-06-17T14:06:12Z</dcterms:modified>
</cp:coreProperties>
</file>